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角色战斗力计算" sheetId="1" r:id="rId1"/>
    <sheet name="角色系数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<sst xmlns="http://schemas.openxmlformats.org/spreadsheetml/2006/main" count="738" uniqueCount="422">
  <si>
    <t>参数ID</t>
  </si>
  <si>
    <t>中文名称</t>
  </si>
  <si>
    <t>当前值</t>
  </si>
  <si>
    <t>分类</t>
  </si>
  <si>
    <t>说明</t>
  </si>
  <si>
    <t>AttackType</t>
  </si>
  <si>
    <t>攻击类型</t>
  </si>
  <si>
    <t>物理</t>
  </si>
  <si>
    <t>输入</t>
  </si>
  <si>
    <t>填写“物理”或“魔法”，用于决定主攻击取物理攻击还是魔法攻击</t>
  </si>
  <si>
    <t>AttackPhysic</t>
  </si>
  <si>
    <t>物理攻击</t>
  </si>
  <si>
    <t>角色当前最终物理攻击值，已计入等级、装备、养成等加成后的结果</t>
  </si>
  <si>
    <t>AttackMagic</t>
  </si>
  <si>
    <t>魔法攻击</t>
  </si>
  <si>
    <t>角色当前最终魔法攻击值，已计入等级、装备、养成等加成后的结果</t>
  </si>
  <si>
    <t>DefensePhysic</t>
  </si>
  <si>
    <t>物理防御</t>
  </si>
  <si>
    <t>角色当前最终物理防御值</t>
  </si>
  <si>
    <t>DefenseMagic</t>
  </si>
  <si>
    <t>魔法防御</t>
  </si>
  <si>
    <t>角色当前最终魔法防御值</t>
  </si>
  <si>
    <t>Hp</t>
  </si>
  <si>
    <t>生命值</t>
  </si>
  <si>
    <t>角色当前最终生命值</t>
  </si>
  <si>
    <t>CriticalRate</t>
  </si>
  <si>
    <t>暴击率</t>
  </si>
  <si>
    <t>角色当前最终暴击率数值</t>
  </si>
  <si>
    <t>CriticalMult</t>
  </si>
  <si>
    <t>暴击伤害</t>
  </si>
  <si>
    <t>角色当前最终暴击伤害数值</t>
  </si>
  <si>
    <t>CriticalResist</t>
  </si>
  <si>
    <t>暴击抗性</t>
  </si>
  <si>
    <t>角色当前最终暴击抗性数值</t>
  </si>
  <si>
    <t>CriticalMultResist</t>
  </si>
  <si>
    <t>暴伤抗性</t>
  </si>
  <si>
    <t>角色当前最终暴伤抗性数值</t>
  </si>
  <si>
    <t>AttackSpeed</t>
  </si>
  <si>
    <t>攻击速度</t>
  </si>
  <si>
    <t>角色当前最终攻击速度数值</t>
  </si>
  <si>
    <t>SpSkillLevel</t>
  </si>
  <si>
    <t>低年级技能等级</t>
  </si>
  <si>
    <t>角色当前高年级技能等级</t>
  </si>
  <si>
    <t>UltimateSkillLevel</t>
  </si>
  <si>
    <t>高年级技能等级</t>
  </si>
  <si>
    <t>角色当前终极技能等级</t>
  </si>
  <si>
    <t>PassiveSkillLevel</t>
  </si>
  <si>
    <t>被动技能等级</t>
  </si>
  <si>
    <t>角色当前被动技能等级</t>
  </si>
  <si>
    <t>ActiveSkillValueA</t>
  </si>
  <si>
    <t>低年级技能系数</t>
  </si>
  <si>
    <t>HeroInfoData.ActiveSkillValueA，对应低年级技能等级乘区系数</t>
  </si>
  <si>
    <t>UltimateSkillValueA</t>
  </si>
  <si>
    <t>高年级技能系数</t>
  </si>
  <si>
    <t>HeroInfoData.UltimateSkillValueA，对应高年级技能等级乘区系数</t>
  </si>
  <si>
    <t>PassiveValueA</t>
  </si>
  <si>
    <t>被动技能系数</t>
  </si>
  <si>
    <t>HeroInfoData.PassiveValueA，对应被动技能等级乘区系数</t>
  </si>
  <si>
    <t>WeightValueA</t>
  </si>
  <si>
    <t>角色固定系数</t>
  </si>
  <si>
    <t>0.340000003576279</t>
  </si>
  <si>
    <t>HeroInfoData.WeightValueA，直接加入成长乘区</t>
  </si>
  <si>
    <t>AsideGrade</t>
  </si>
  <si>
    <t>坨格等级</t>
  </si>
  <si>
    <t>坨格等级，大于等于 2 时坨格系数生效</t>
  </si>
  <si>
    <t>AsideValueA</t>
  </si>
  <si>
    <t>坨格系数</t>
  </si>
  <si>
    <t>0.699999988079071</t>
  </si>
  <si>
    <t>HeroInfoData.AsideValueA，仅在坨格等级大于等于 2 时加入成长乘区</t>
  </si>
  <si>
    <t>AttackWeight_301</t>
  </si>
  <si>
    <t>主攻击权重</t>
  </si>
  <si>
    <t>运行时常量</t>
  </si>
  <si>
    <t>FormalInfo[301].ValueA，主攻击项权重</t>
  </si>
  <si>
    <t>DefenseWeight_302</t>
  </si>
  <si>
    <t>防御权重</t>
  </si>
  <si>
    <t>FormalInfo[302].ValueA，物理防御与魔法防御之和的权重</t>
  </si>
  <si>
    <t>HpWeight_303</t>
  </si>
  <si>
    <t>生命权重</t>
  </si>
  <si>
    <t>FormalInfo[303].ValueA，生命值项权重</t>
  </si>
  <si>
    <t>CriticalRateWeight_304</t>
  </si>
  <si>
    <t>暴击率权重</t>
  </si>
  <si>
    <t>FormalInfo[304].ValueA，暴击率项权重</t>
  </si>
  <si>
    <t>CriticalMultWeight_305</t>
  </si>
  <si>
    <t>暴击伤害权重</t>
  </si>
  <si>
    <t>FormalInfo[305].ValueA，暴击伤害项权重</t>
  </si>
  <si>
    <t>CriticalResistWeight_306</t>
  </si>
  <si>
    <t>暴击抗性权重</t>
  </si>
  <si>
    <t>FormalInfo[306].ValueA，暴击抗性项权重</t>
  </si>
  <si>
    <t>CriticalMultResistWeight_307</t>
  </si>
  <si>
    <t>暴伤抗性权重</t>
  </si>
  <si>
    <t>FormalInfo[307].ValueA，暴伤抗性项权重</t>
  </si>
  <si>
    <t>AttackSpeedWeight_308</t>
  </si>
  <si>
    <t>攻击速度权重</t>
  </si>
  <si>
    <t>FormalInfo[308].ValueA，攻击速度项权重</t>
  </si>
  <si>
    <t>MainAttack</t>
  </si>
  <si>
    <t>主攻击</t>
  </si>
  <si>
    <t>输出</t>
  </si>
  <si>
    <t>攻击类型为“物理”时取物理攻击，为“魔法”时取魔法攻击</t>
  </si>
  <si>
    <t>DefenseSum</t>
  </si>
  <si>
    <t>双防合计</t>
  </si>
  <si>
    <t>物理防御与魔法防御之和</t>
  </si>
  <si>
    <t>AsideBonus</t>
  </si>
  <si>
    <t>坨格加成</t>
  </si>
  <si>
    <t>坨格等级大于等于 2 时取旁支系数，否则为 0</t>
  </si>
  <si>
    <t>BaseScore</t>
  </si>
  <si>
    <t>基础分</t>
  </si>
  <si>
    <t>由主攻击、双防、生命、暴击率、暴击伤害、暴击抗性、暴伤抗性、攻击速度组成</t>
  </si>
  <si>
    <t>GrowthMultiplier</t>
  </si>
  <si>
    <t>成长乘区</t>
  </si>
  <si>
    <t>由技能等级系数、角色固定系数、坨格加成组成</t>
  </si>
  <si>
    <t>Power</t>
  </si>
  <si>
    <t>战斗力</t>
  </si>
  <si>
    <t>最终结果，等于基础分乘成长乘区后取整</t>
  </si>
  <si>
    <t>1. 所有输入属性均应填写角色当前最终属性，而不是白值。</t>
  </si>
  <si>
    <t>2. 主攻击会根据攻击类型在物理攻击和魔法攻击之间二选一。</t>
  </si>
  <si>
    <t>3. 战斗力使用 TRUNC 取整，对正数等同于向下取整。</t>
  </si>
  <si>
    <t>4. 权重来自 TableData.FormalInfo 的 301 至 308 号项。</t>
  </si>
  <si>
    <t>角色UID</t>
  </si>
  <si>
    <t>中文名</t>
  </si>
  <si>
    <t>英文资源名</t>
  </si>
  <si>
    <t>NameKey原文</t>
  </si>
  <si>
    <t>达雅</t>
  </si>
  <si>
    <t>Daya</t>
  </si>
  <si>
    <t>魔法</t>
  </si>
  <si>
    <t>Hero_Name_Daya</t>
  </si>
  <si>
    <t>这些系数来自 HeroInfoData，为角色常量，不是全局统一值</t>
  </si>
  <si>
    <t>伊弗利特</t>
  </si>
  <si>
    <t>Ifrit</t>
  </si>
  <si>
    <t>Hero_Name_Ifrit</t>
  </si>
  <si>
    <t>柯米</t>
  </si>
  <si>
    <t>Kommy</t>
  </si>
  <si>
    <t>Hero_Name_Kommy</t>
  </si>
  <si>
    <t>大师2号</t>
  </si>
  <si>
    <t>MaestroMK2</t>
  </si>
  <si>
    <t>Hero_Name_MaestroMK2</t>
  </si>
  <si>
    <t>奈亚</t>
  </si>
  <si>
    <t>Naia</t>
  </si>
  <si>
    <t>Hero_Name_Naia</t>
  </si>
  <si>
    <t>尼尔</t>
  </si>
  <si>
    <t>Ner</t>
  </si>
  <si>
    <t>Hero_Name_Ner</t>
  </si>
  <si>
    <t>琳</t>
  </si>
  <si>
    <t>Rim</t>
  </si>
  <si>
    <t>Hero_Name_Rim</t>
  </si>
  <si>
    <t>斯皮奇</t>
  </si>
  <si>
    <t>Speaki</t>
  </si>
  <si>
    <t>Hero_Name_Speaki</t>
  </si>
  <si>
    <t>希拉</t>
  </si>
  <si>
    <t>Sylla</t>
  </si>
  <si>
    <t>Hero_Name_Sylla</t>
  </si>
  <si>
    <t>佩佩</t>
  </si>
  <si>
    <t>Velvet</t>
  </si>
  <si>
    <t>Hero_Name_Velvet</t>
  </si>
  <si>
    <t>大木头</t>
  </si>
  <si>
    <t>BigWood</t>
  </si>
  <si>
    <t>Hero_Name_BigWood</t>
  </si>
  <si>
    <t>杰德</t>
  </si>
  <si>
    <t>Jade</t>
  </si>
  <si>
    <t>Hero_Name_Jade</t>
  </si>
  <si>
    <t>爱丽丝</t>
  </si>
  <si>
    <t>Alice</t>
  </si>
  <si>
    <t>Hero_Name_Alice</t>
  </si>
  <si>
    <t>艾蜜莉雅</t>
  </si>
  <si>
    <t>Amelia</t>
  </si>
  <si>
    <t>Hero_Name_Amelia</t>
  </si>
  <si>
    <t>贝丽塔</t>
  </si>
  <si>
    <t>Belita</t>
  </si>
  <si>
    <t>Hero_Name_Belita</t>
  </si>
  <si>
    <t>埃尔芬</t>
  </si>
  <si>
    <t>Erpin</t>
  </si>
  <si>
    <t>Hero_Name_Erpin</t>
  </si>
  <si>
    <t>卢波</t>
  </si>
  <si>
    <t>Rufo</t>
  </si>
  <si>
    <t>Hero_Name_Rufo</t>
  </si>
  <si>
    <t>艾舒尔</t>
  </si>
  <si>
    <t>Ashur</t>
  </si>
  <si>
    <t>Hero_Name_Ashur</t>
  </si>
  <si>
    <t>艾琳娜</t>
  </si>
  <si>
    <t>Elena</t>
  </si>
  <si>
    <t>Hero_Name_Elena</t>
  </si>
  <si>
    <t>芙莉可</t>
  </si>
  <si>
    <t>Fricle</t>
  </si>
  <si>
    <t>Hero_Name_Fricle</t>
  </si>
  <si>
    <t>基迪恩</t>
  </si>
  <si>
    <t>Kidian</t>
  </si>
  <si>
    <t>Hero_Name_Kidian</t>
  </si>
  <si>
    <t>鲁德</t>
  </si>
  <si>
    <t>Rude</t>
  </si>
  <si>
    <t>Hero_Name_Rude</t>
  </si>
  <si>
    <t>夏迪</t>
  </si>
  <si>
    <t>Shady</t>
  </si>
  <si>
    <t>Hero_Name_Shady</t>
  </si>
  <si>
    <t>迪亚纳</t>
  </si>
  <si>
    <t>Diana</t>
  </si>
  <si>
    <t>Hero_Name_Diana</t>
  </si>
  <si>
    <t>加维亚</t>
  </si>
  <si>
    <t>Gabia</t>
  </si>
  <si>
    <t>Hero_Name_Gabia</t>
  </si>
  <si>
    <t>康纳</t>
  </si>
  <si>
    <t>Canna</t>
  </si>
  <si>
    <t>Hero_Name_Canna</t>
  </si>
  <si>
    <t>班尼</t>
  </si>
  <si>
    <t>Beni</t>
  </si>
  <si>
    <t>Hero_Name_Beni</t>
  </si>
  <si>
    <t>西斯</t>
  </si>
  <si>
    <t>Sist</t>
  </si>
  <si>
    <t>Hero_Name_Sist</t>
  </si>
  <si>
    <t>黄油</t>
  </si>
  <si>
    <t>Butter</t>
  </si>
  <si>
    <t>Hero_Name_Butter</t>
  </si>
  <si>
    <t>佩斯塔</t>
  </si>
  <si>
    <t>Festa</t>
  </si>
  <si>
    <t>Hero_Name_Festa</t>
  </si>
  <si>
    <t>莱薇</t>
  </si>
  <si>
    <t>Levi</t>
  </si>
  <si>
    <t>Hero_Name_Levi</t>
  </si>
  <si>
    <t>玛丽</t>
  </si>
  <si>
    <t>Marie</t>
  </si>
  <si>
    <t>Hero_Name_Marie</t>
  </si>
  <si>
    <t>梅露娜</t>
  </si>
  <si>
    <t>Meluna</t>
  </si>
  <si>
    <t>Hero_Name_Meluna</t>
  </si>
  <si>
    <t>珀榭</t>
  </si>
  <si>
    <t>Posher</t>
  </si>
  <si>
    <t>Hero_Name_Posher</t>
  </si>
  <si>
    <t>希菲尔</t>
  </si>
  <si>
    <t>Silphir</t>
  </si>
  <si>
    <t>Hero_Name_Silphir</t>
  </si>
  <si>
    <t>茱蜜</t>
  </si>
  <si>
    <t>Jubee</t>
  </si>
  <si>
    <t>Hero_Name_Jubee</t>
  </si>
  <si>
    <t>艾斯皮</t>
  </si>
  <si>
    <t>Espi</t>
  </si>
  <si>
    <t>Hero_Name_Espi</t>
  </si>
  <si>
    <t>马尔</t>
  </si>
  <si>
    <t>Mago</t>
  </si>
  <si>
    <t>Hero_Name_Mago</t>
  </si>
  <si>
    <t>玛约</t>
  </si>
  <si>
    <t>Mayo</t>
  </si>
  <si>
    <t>Hero_Name_Mayo</t>
  </si>
  <si>
    <t>洛涅</t>
  </si>
  <si>
    <t>Rohne</t>
  </si>
  <si>
    <t>Hero_Name_Rohne</t>
  </si>
  <si>
    <t>提格</t>
  </si>
  <si>
    <t>Tig</t>
  </si>
  <si>
    <t>Hero_Name_Tig</t>
  </si>
  <si>
    <t>阿莱特</t>
  </si>
  <si>
    <t>Allet</t>
  </si>
  <si>
    <t>Hero_Name_Allet</t>
  </si>
  <si>
    <t>泰达</t>
  </si>
  <si>
    <t>Taida</t>
  </si>
  <si>
    <t>Hero_Name_Taida</t>
  </si>
  <si>
    <t>雷吉</t>
  </si>
  <si>
    <t>Lazy</t>
  </si>
  <si>
    <t>Hero_Name_Lazy</t>
  </si>
  <si>
    <t>莎里</t>
  </si>
  <si>
    <t>Sari</t>
  </si>
  <si>
    <t>Hero_Name_Sari</t>
  </si>
  <si>
    <t>贝鲁</t>
  </si>
  <si>
    <t>Veroo</t>
  </si>
  <si>
    <t>Hero_Name_Veroo</t>
  </si>
  <si>
    <t>梅森</t>
  </si>
  <si>
    <t>Maison</t>
  </si>
  <si>
    <t>Hero_Name_Maison</t>
  </si>
  <si>
    <t>米雪</t>
  </si>
  <si>
    <t>Mynx</t>
  </si>
  <si>
    <t>Hero_Name_Mynx</t>
  </si>
  <si>
    <t>乔菲</t>
  </si>
  <si>
    <t>Chopi</t>
  </si>
  <si>
    <t>Hero_Name_Chopi</t>
  </si>
  <si>
    <t>刘美美</t>
  </si>
  <si>
    <t>Yumimi</t>
  </si>
  <si>
    <t>Hero_Name_Yumimi</t>
  </si>
  <si>
    <t>帕特拉</t>
  </si>
  <si>
    <t>Patula</t>
  </si>
  <si>
    <t>Hero_Name_Patula</t>
  </si>
  <si>
    <t>卡伦</t>
  </si>
  <si>
    <t>Carren</t>
  </si>
  <si>
    <t>Hero_Name_Carren</t>
  </si>
  <si>
    <t>路易</t>
  </si>
  <si>
    <t>Cuee</t>
  </si>
  <si>
    <t>Hero_Name_Cuee</t>
  </si>
  <si>
    <t>莉纽阿</t>
  </si>
  <si>
    <t>Renewa</t>
  </si>
  <si>
    <t>Hero_Name_Renewa</t>
  </si>
  <si>
    <t>x乂锡安乂x</t>
  </si>
  <si>
    <t>xXionx</t>
  </si>
  <si>
    <t>Hero_Name_xXionx</t>
  </si>
  <si>
    <t>克洛艾</t>
  </si>
  <si>
    <t>Chloe</t>
  </si>
  <si>
    <t>Hero_Name_Chloe</t>
  </si>
  <si>
    <t>绫</t>
  </si>
  <si>
    <t>Aya</t>
  </si>
  <si>
    <t>Hero_Name_Aya</t>
  </si>
  <si>
    <t>雨伊</t>
  </si>
  <si>
    <t>Ui</t>
  </si>
  <si>
    <t>Hero_Name_Ui</t>
  </si>
  <si>
    <t>金迪</t>
  </si>
  <si>
    <t>Goldy</t>
  </si>
  <si>
    <t>Hero_Name_Goldy</t>
  </si>
  <si>
    <t>迎春</t>
  </si>
  <si>
    <t>Youngchun</t>
  </si>
  <si>
    <t>Hero_Name_Youngchun</t>
  </si>
  <si>
    <t>薇薇</t>
  </si>
  <si>
    <t>Vivi</t>
  </si>
  <si>
    <t>Hero_Name_Vivi</t>
  </si>
  <si>
    <t>希尔德</t>
  </si>
  <si>
    <t>Hilde</t>
  </si>
  <si>
    <t>Hero_Name_Hilde</t>
  </si>
  <si>
    <t>赛琳娜</t>
  </si>
  <si>
    <t>Selline</t>
  </si>
  <si>
    <t>Hero_Name_Selline</t>
  </si>
  <si>
    <t>埃皮卡</t>
  </si>
  <si>
    <t>Epica</t>
  </si>
  <si>
    <t>Hero_Name_Epica</t>
  </si>
  <si>
    <t>丽兹</t>
  </si>
  <si>
    <t>Leets</t>
  </si>
  <si>
    <t>Hero_Name_Leets</t>
  </si>
  <si>
    <t>皮可拉</t>
  </si>
  <si>
    <t>Picora</t>
  </si>
  <si>
    <t>Hero_Name_Picora</t>
  </si>
  <si>
    <t>布朗谢</t>
  </si>
  <si>
    <t>Blanchet</t>
  </si>
  <si>
    <t>Hero_Name_Blanchet</t>
  </si>
  <si>
    <t>伊德</t>
  </si>
  <si>
    <t>Ed</t>
  </si>
  <si>
    <t>Hero_Name_Ed</t>
  </si>
  <si>
    <t>舒胖</t>
  </si>
  <si>
    <t>Shoupan</t>
  </si>
  <si>
    <t>Hero_Name_Shoupan</t>
  </si>
  <si>
    <t>卡洛特</t>
  </si>
  <si>
    <t>Kyarot</t>
  </si>
  <si>
    <t>Hero_Name_Kyarot</t>
  </si>
  <si>
    <t>罗莱特</t>
  </si>
  <si>
    <t>Rollett</t>
  </si>
  <si>
    <t>Hero_Name_Rollett</t>
  </si>
  <si>
    <t>巴纳</t>
  </si>
  <si>
    <t>Bana</t>
  </si>
  <si>
    <t>Hero_Name_Bana</t>
  </si>
  <si>
    <t>莉丝迪</t>
  </si>
  <si>
    <t>Risty</t>
  </si>
  <si>
    <t>Hero_Name_Risty</t>
  </si>
  <si>
    <t>柯米（泳装）</t>
  </si>
  <si>
    <t>KommySwim</t>
  </si>
  <si>
    <t>Hero_Name_KommySwim</t>
  </si>
  <si>
    <t>RenewaAwaken</t>
  </si>
  <si>
    <t>Hero_Name_RenewaAwaken</t>
  </si>
  <si>
    <t>海莉</t>
  </si>
  <si>
    <t>Haley</t>
  </si>
  <si>
    <t>Hero_Name_Haley</t>
  </si>
  <si>
    <t>蕾特</t>
  </si>
  <si>
    <t>Lethe</t>
  </si>
  <si>
    <t>Hero_Name_Lethe</t>
  </si>
  <si>
    <t>莫莫</t>
  </si>
  <si>
    <t>Momo</t>
  </si>
  <si>
    <t>Hero_Name_Momo</t>
  </si>
  <si>
    <t>巴隆</t>
  </si>
  <si>
    <t>Barong</t>
  </si>
  <si>
    <t>Hero_Name_Barong</t>
  </si>
  <si>
    <t>巴里埃</t>
  </si>
  <si>
    <t>Barie</t>
  </si>
  <si>
    <t>Hero_Name_Barie</t>
  </si>
  <si>
    <t>斯诺基</t>
  </si>
  <si>
    <t>Snorky</t>
  </si>
  <si>
    <t>Hero_Name_Snorky</t>
  </si>
  <si>
    <t>皮拉</t>
  </si>
  <si>
    <t>Pira</t>
  </si>
  <si>
    <t>Hero_Name_Pira</t>
  </si>
  <si>
    <t>坎娜</t>
  </si>
  <si>
    <t>Canta</t>
  </si>
  <si>
    <t>Hero_Name_Canta</t>
  </si>
  <si>
    <t>谢伦</t>
  </si>
  <si>
    <t>Sherum</t>
  </si>
  <si>
    <t>Hero_Name_Sherum</t>
  </si>
  <si>
    <t>乔安</t>
  </si>
  <si>
    <t>Joanne</t>
  </si>
  <si>
    <t>Hero_Name_Joanne</t>
  </si>
  <si>
    <t>格温</t>
  </si>
  <si>
    <t>Guin</t>
  </si>
  <si>
    <t>Hero_Name_Guin</t>
  </si>
  <si>
    <t>波朗</t>
  </si>
  <si>
    <t>Polan</t>
  </si>
  <si>
    <t>Hero_Name_Polan</t>
  </si>
  <si>
    <t/>
  </si>
  <si>
    <t>SpeakiMaid</t>
  </si>
  <si>
    <t>Hero_Name_SpeakiMaid</t>
  </si>
  <si>
    <t>Lion</t>
  </si>
  <si>
    <t>Hero_Name_Lion</t>
  </si>
  <si>
    <t>Opal</t>
  </si>
  <si>
    <t>Hero_Name_Opal</t>
  </si>
  <si>
    <t>Ran</t>
  </si>
  <si>
    <t>Hero_Name_Ran</t>
  </si>
  <si>
    <t>Yomi</t>
  </si>
  <si>
    <t>Hero_Name_Yomi</t>
  </si>
  <si>
    <t>Eisia</t>
  </si>
  <si>
    <t>Hero_Name_Eisia</t>
  </si>
  <si>
    <t>Shasha</t>
  </si>
  <si>
    <t>Hero_Name_Shasha</t>
  </si>
  <si>
    <t>Dummy_20</t>
  </si>
  <si>
    <t>Laika</t>
  </si>
  <si>
    <t>Hero_Name_Laika</t>
  </si>
  <si>
    <t>Ricota</t>
  </si>
  <si>
    <t>Hero_Name_Ricota</t>
  </si>
  <si>
    <t>MayoCool</t>
  </si>
  <si>
    <t>Hero_Name_MayoCool</t>
  </si>
  <si>
    <t>Orr</t>
  </si>
  <si>
    <t>Hero_Name_Orr</t>
  </si>
  <si>
    <t>DianaYester</t>
  </si>
  <si>
    <t>Hero_Name_DianaYester</t>
  </si>
  <si>
    <t>Arco</t>
  </si>
  <si>
    <t>Hero_Name_Arco</t>
  </si>
  <si>
    <t>Kathy</t>
  </si>
  <si>
    <t>Hero_Name_Kathy</t>
  </si>
  <si>
    <t>Arnet</t>
  </si>
  <si>
    <t>Hero_Name_Arnet</t>
  </si>
  <si>
    <t>Crepe</t>
  </si>
  <si>
    <t>珂蕾佩</t>
  </si>
  <si>
    <t>Hero_Name_Crepe</t>
  </si>
  <si>
    <t>CrayonKnightNone</t>
  </si>
  <si>
    <t>Hero_Name_CrayonKnight</t>
  </si>
  <si>
    <t>EisiaFridge</t>
  </si>
  <si>
    <t>Hero_Name_EisiaFridge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</si>
</sst>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Microsoft YaHei"/>
      <charset val="134"/>
    </font>
    <font>
      <sz val="10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 quotePrefix="1">
      <alignment vertical="center" wrapText="1"/>
    </xf>
    <xf numFmtId="0" fontId="4" fillId="5" borderId="1" xfId="0" applyFont="1" applyFill="1" applyBorder="1" applyAlignment="1" quotePrefix="1">
      <alignment vertical="center" wrapText="1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pane ySplit="1" topLeftCell="A24" activePane="bottomLeft" state="frozen"/>
      <selection/>
      <selection pane="bottomLeft" activeCell="C20" sqref="C20"/>
    </sheetView>
  </sheetViews>
  <sheetFormatPr defaultColWidth="9" defaultRowHeight="14" outlineLevelCol="4"/>
  <cols>
    <col min="1" max="1" width="24" customWidth="1"/>
    <col min="2" max="2" width="20" customWidth="1"/>
    <col min="3" max="3" width="16" customWidth="1"/>
    <col min="4" max="4" width="14" customWidth="1"/>
    <col min="5" max="5" width="65.1818181818182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" spans="1:5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ht="33" spans="1:5">
      <c r="A3" s="3" t="s">
        <v>10</v>
      </c>
      <c r="B3" s="3" t="s">
        <v>11</v>
      </c>
      <c r="C3" s="4">
        <v>53080</v>
      </c>
      <c r="D3" s="4" t="s">
        <v>8</v>
      </c>
      <c r="E3" s="3" t="s">
        <v>12</v>
      </c>
    </row>
    <row r="4" ht="33" spans="1:5">
      <c r="A4" s="3" t="s">
        <v>13</v>
      </c>
      <c r="B4" s="3" t="s">
        <v>14</v>
      </c>
      <c r="C4" s="4">
        <v>4262</v>
      </c>
      <c r="D4" s="4" t="s">
        <v>8</v>
      </c>
      <c r="E4" s="3" t="s">
        <v>15</v>
      </c>
    </row>
    <row r="5" ht="16.5" spans="1:5">
      <c r="A5" s="3" t="s">
        <v>16</v>
      </c>
      <c r="B5" s="3" t="s">
        <v>17</v>
      </c>
      <c r="C5" s="4">
        <v>57104</v>
      </c>
      <c r="D5" s="4" t="s">
        <v>8</v>
      </c>
      <c r="E5" s="3" t="s">
        <v>18</v>
      </c>
    </row>
    <row r="6" ht="16.5" spans="1:5">
      <c r="A6" s="3" t="s">
        <v>19</v>
      </c>
      <c r="B6" s="3" t="s">
        <v>20</v>
      </c>
      <c r="C6" s="4">
        <v>57179</v>
      </c>
      <c r="D6" s="4" t="s">
        <v>8</v>
      </c>
      <c r="E6" s="3" t="s">
        <v>21</v>
      </c>
    </row>
    <row r="7" ht="16.5" spans="1:5">
      <c r="A7" s="3" t="s">
        <v>22</v>
      </c>
      <c r="B7" s="3" t="s">
        <v>23</v>
      </c>
      <c r="C7" s="4">
        <v>553870</v>
      </c>
      <c r="D7" s="4" t="s">
        <v>8</v>
      </c>
      <c r="E7" s="3" t="s">
        <v>24</v>
      </c>
    </row>
    <row r="8" ht="16.5" spans="1:5">
      <c r="A8" s="3" t="s">
        <v>25</v>
      </c>
      <c r="B8" s="3" t="s">
        <v>26</v>
      </c>
      <c r="C8" s="4">
        <v>23099</v>
      </c>
      <c r="D8" s="4" t="s">
        <v>8</v>
      </c>
      <c r="E8" s="3" t="s">
        <v>27</v>
      </c>
    </row>
    <row r="9" ht="16.5" spans="1:5">
      <c r="A9" s="3" t="s">
        <v>28</v>
      </c>
      <c r="B9" s="3" t="s">
        <v>29</v>
      </c>
      <c r="C9" s="4">
        <v>22942</v>
      </c>
      <c r="D9" s="4" t="s">
        <v>8</v>
      </c>
      <c r="E9" s="3" t="s">
        <v>30</v>
      </c>
    </row>
    <row r="10" ht="16.5" spans="1:5">
      <c r="A10" s="3" t="s">
        <v>31</v>
      </c>
      <c r="B10" s="3" t="s">
        <v>32</v>
      </c>
      <c r="C10" s="4">
        <v>21198</v>
      </c>
      <c r="D10" s="4" t="s">
        <v>8</v>
      </c>
      <c r="E10" s="3" t="s">
        <v>33</v>
      </c>
    </row>
    <row r="11" ht="16.5" spans="1:5">
      <c r="A11" s="3" t="s">
        <v>34</v>
      </c>
      <c r="B11" s="3" t="s">
        <v>35</v>
      </c>
      <c r="C11" s="4">
        <v>21207</v>
      </c>
      <c r="D11" s="4" t="s">
        <v>8</v>
      </c>
      <c r="E11" s="3" t="s">
        <v>36</v>
      </c>
    </row>
    <row r="12" ht="16.5" spans="1:5">
      <c r="A12" s="3" t="s">
        <v>37</v>
      </c>
      <c r="B12" s="3" t="s">
        <v>38</v>
      </c>
      <c r="C12" s="4">
        <v>100</v>
      </c>
      <c r="D12" s="4" t="s">
        <v>8</v>
      </c>
      <c r="E12" s="3" t="s">
        <v>39</v>
      </c>
    </row>
    <row r="13" ht="16.5" spans="1:5">
      <c r="A13" s="3" t="s">
        <v>40</v>
      </c>
      <c r="B13" s="3" t="s">
        <v>41</v>
      </c>
      <c r="C13" s="4">
        <v>12</v>
      </c>
      <c r="D13" s="4" t="s">
        <v>8</v>
      </c>
      <c r="E13" s="3" t="s">
        <v>42</v>
      </c>
    </row>
    <row r="14" ht="16.5" spans="1:5">
      <c r="A14" s="3" t="s">
        <v>43</v>
      </c>
      <c r="B14" s="3" t="s">
        <v>44</v>
      </c>
      <c r="C14" s="4">
        <v>7</v>
      </c>
      <c r="D14" s="4" t="s">
        <v>8</v>
      </c>
      <c r="E14" s="3" t="s">
        <v>45</v>
      </c>
    </row>
    <row r="15" ht="16.5" spans="1:5">
      <c r="A15" s="3" t="s">
        <v>46</v>
      </c>
      <c r="B15" s="3" t="s">
        <v>47</v>
      </c>
      <c r="C15" s="4">
        <v>7</v>
      </c>
      <c r="D15" s="4" t="s">
        <v>8</v>
      </c>
      <c r="E15" s="3" t="s">
        <v>48</v>
      </c>
    </row>
    <row r="16" ht="16.5" spans="1:5">
      <c r="A16" s="3" t="s">
        <v>49</v>
      </c>
      <c r="B16" s="3" t="s">
        <v>50</v>
      </c>
      <c r="C16" s="4">
        <v>0.02</v>
      </c>
      <c r="D16" s="4" t="s">
        <v>8</v>
      </c>
      <c r="E16" s="3" t="s">
        <v>51</v>
      </c>
    </row>
    <row r="17" ht="33" spans="1:5">
      <c r="A17" s="3" t="s">
        <v>52</v>
      </c>
      <c r="B17" s="3" t="s">
        <v>53</v>
      </c>
      <c r="C17" s="4">
        <v>0.02</v>
      </c>
      <c r="D17" s="4" t="s">
        <v>8</v>
      </c>
      <c r="E17" s="3" t="s">
        <v>54</v>
      </c>
    </row>
    <row r="18" ht="16.5" spans="1:5">
      <c r="A18" s="3" t="s">
        <v>55</v>
      </c>
      <c r="B18" s="3" t="s">
        <v>56</v>
      </c>
      <c r="C18" s="4">
        <v>0.02</v>
      </c>
      <c r="D18" s="4" t="s">
        <v>8</v>
      </c>
      <c r="E18" s="3" t="s">
        <v>57</v>
      </c>
    </row>
    <row r="19" ht="33" spans="1:5">
      <c r="A19" s="3" t="s">
        <v>58</v>
      </c>
      <c r="B19" s="3" t="s">
        <v>59</v>
      </c>
      <c r="C19" s="8" t="s">
        <v>60</v>
      </c>
      <c r="D19" s="4" t="s">
        <v>8</v>
      </c>
      <c r="E19" s="3" t="s">
        <v>61</v>
      </c>
    </row>
    <row r="20" ht="16.5" spans="1:5">
      <c r="A20" s="3" t="s">
        <v>62</v>
      </c>
      <c r="B20" s="3" t="s">
        <v>63</v>
      </c>
      <c r="C20" s="4">
        <v>2</v>
      </c>
      <c r="D20" s="4" t="s">
        <v>8</v>
      </c>
      <c r="E20" s="3" t="s">
        <v>64</v>
      </c>
    </row>
    <row r="21" ht="33" spans="1:5">
      <c r="A21" s="3" t="s">
        <v>65</v>
      </c>
      <c r="B21" s="3" t="s">
        <v>66</v>
      </c>
      <c r="C21" s="8" t="s">
        <v>67</v>
      </c>
      <c r="D21" s="4" t="s">
        <v>8</v>
      </c>
      <c r="E21" s="3" t="s">
        <v>68</v>
      </c>
    </row>
    <row r="22" ht="16.5" spans="1:5">
      <c r="A22" s="3" t="s">
        <v>69</v>
      </c>
      <c r="B22" s="3" t="s">
        <v>70</v>
      </c>
      <c r="C22" s="5">
        <v>2.1</v>
      </c>
      <c r="D22" s="5" t="s">
        <v>71</v>
      </c>
      <c r="E22" s="3" t="s">
        <v>72</v>
      </c>
    </row>
    <row r="23" ht="16.5" spans="1:5">
      <c r="A23" s="3" t="s">
        <v>73</v>
      </c>
      <c r="B23" s="3" t="s">
        <v>74</v>
      </c>
      <c r="C23" s="5">
        <v>0.7</v>
      </c>
      <c r="D23" s="5" t="s">
        <v>71</v>
      </c>
      <c r="E23" s="3" t="s">
        <v>75</v>
      </c>
    </row>
    <row r="24" ht="16.5" spans="1:5">
      <c r="A24" s="3" t="s">
        <v>76</v>
      </c>
      <c r="B24" s="3" t="s">
        <v>77</v>
      </c>
      <c r="C24" s="5">
        <v>0.08</v>
      </c>
      <c r="D24" s="5" t="s">
        <v>71</v>
      </c>
      <c r="E24" s="3" t="s">
        <v>78</v>
      </c>
    </row>
    <row r="25" ht="16.5" spans="1:5">
      <c r="A25" s="3" t="s">
        <v>79</v>
      </c>
      <c r="B25" s="3" t="s">
        <v>80</v>
      </c>
      <c r="C25" s="5">
        <v>0.7</v>
      </c>
      <c r="D25" s="5" t="s">
        <v>71</v>
      </c>
      <c r="E25" s="3" t="s">
        <v>81</v>
      </c>
    </row>
    <row r="26" ht="16.5" spans="1:5">
      <c r="A26" s="3" t="s">
        <v>82</v>
      </c>
      <c r="B26" s="3" t="s">
        <v>83</v>
      </c>
      <c r="C26" s="5">
        <v>0.7</v>
      </c>
      <c r="D26" s="5" t="s">
        <v>71</v>
      </c>
      <c r="E26" s="3" t="s">
        <v>84</v>
      </c>
    </row>
    <row r="27" ht="33" spans="1:5">
      <c r="A27" s="3" t="s">
        <v>85</v>
      </c>
      <c r="B27" s="3" t="s">
        <v>86</v>
      </c>
      <c r="C27" s="5">
        <v>0.7</v>
      </c>
      <c r="D27" s="5" t="s">
        <v>71</v>
      </c>
      <c r="E27" s="3" t="s">
        <v>87</v>
      </c>
    </row>
    <row r="28" ht="33" spans="1:5">
      <c r="A28" s="3" t="s">
        <v>88</v>
      </c>
      <c r="B28" s="3" t="s">
        <v>89</v>
      </c>
      <c r="C28" s="5">
        <v>0.7</v>
      </c>
      <c r="D28" s="5" t="s">
        <v>71</v>
      </c>
      <c r="E28" s="3" t="s">
        <v>90</v>
      </c>
    </row>
    <row r="29" ht="33" spans="1:5">
      <c r="A29" s="3" t="s">
        <v>91</v>
      </c>
      <c r="B29" s="3" t="s">
        <v>92</v>
      </c>
      <c r="C29" s="5">
        <v>0.6</v>
      </c>
      <c r="D29" s="5" t="s">
        <v>71</v>
      </c>
      <c r="E29" s="3" t="s">
        <v>93</v>
      </c>
    </row>
    <row r="30" ht="16.5" spans="1:5">
      <c r="A30" s="6" t="s">
        <v>94</v>
      </c>
      <c r="B30" s="6" t="s">
        <v>95</v>
      </c>
      <c r="C30" s="7">
        <f>IF(C2="物理",C3,C4)</f>
        <v>53080</v>
      </c>
      <c r="D30" s="7" t="s">
        <v>96</v>
      </c>
      <c r="E30" s="6" t="s">
        <v>97</v>
      </c>
    </row>
    <row r="31" ht="16.5" spans="1:5">
      <c r="A31" s="6" t="s">
        <v>98</v>
      </c>
      <c r="B31" s="6" t="s">
        <v>99</v>
      </c>
      <c r="C31" s="7">
        <f>C5+C6</f>
        <v>114283</v>
      </c>
      <c r="D31" s="7" t="s">
        <v>96</v>
      </c>
      <c r="E31" s="6" t="s">
        <v>100</v>
      </c>
    </row>
    <row r="32" ht="16.5" spans="1:5">
      <c r="A32" s="6" t="s">
        <v>101</v>
      </c>
      <c r="B32" s="6" t="s">
        <v>102</v>
      </c>
      <c r="C32" s="9" t="str">
        <f>IF(C20&gt;=2,C21,0)</f>
        <v>0.699999988079071</v>
      </c>
      <c r="D32" s="7" t="s">
        <v>96</v>
      </c>
      <c r="E32" s="6" t="s">
        <v>103</v>
      </c>
    </row>
    <row r="33" ht="33" spans="1:5">
      <c r="A33" s="6" t="s">
        <v>104</v>
      </c>
      <c r="B33" s="6" t="s">
        <v>105</v>
      </c>
      <c r="C33" s="7">
        <f>C30*C22+C31*C23+C7*C24+C8*C25+C9*C26+C10*C27+C11*C28+C12*C29</f>
        <v>297747.9</v>
      </c>
      <c r="D33" s="7" t="s">
        <v>96</v>
      </c>
      <c r="E33" s="6" t="s">
        <v>106</v>
      </c>
    </row>
    <row r="34" ht="16.5" spans="1:5">
      <c r="A34" s="6" t="s">
        <v>107</v>
      </c>
      <c r="B34" s="6" t="s">
        <v>108</v>
      </c>
      <c r="C34" s="7">
        <f>1+C16*C13+C17*C14+C18*C15+C19+C32</f>
        <v>2.55999999165535</v>
      </c>
      <c r="D34" s="7" t="s">
        <v>96</v>
      </c>
      <c r="E34" s="6" t="s">
        <v>109</v>
      </c>
    </row>
    <row r="35" ht="16.5" spans="1:5">
      <c r="A35" s="6" t="s">
        <v>110</v>
      </c>
      <c r="B35" s="6" t="s">
        <v>111</v>
      </c>
      <c r="C35" s="7">
        <f>TRUNC(C33*C34,0)</f>
        <v>762234</v>
      </c>
      <c r="D35" s="7" t="s">
        <v>96</v>
      </c>
      <c r="E35" s="6" t="s">
        <v>112</v>
      </c>
    </row>
    <row r="37" ht="43.5" spans="1:5">
      <c r="A37" s="2" t="s">
        <v>4</v>
      </c>
      <c r="B37" s="2" t="s">
        <v>113</v>
      </c>
      <c r="C37" s="2"/>
      <c r="D37" s="2"/>
      <c r="E37" s="2"/>
    </row>
    <row r="38" ht="43.5" spans="1:5">
      <c r="A38" s="2"/>
      <c r="B38" s="2" t="s">
        <v>114</v>
      </c>
      <c r="C38" s="2"/>
      <c r="D38" s="2"/>
      <c r="E38" s="2"/>
    </row>
    <row r="39" ht="43.5" spans="1:5">
      <c r="A39" s="2"/>
      <c r="B39" s="2" t="s">
        <v>115</v>
      </c>
      <c r="C39" s="2"/>
      <c r="D39" s="2"/>
      <c r="E39" s="2"/>
    </row>
    <row r="40" ht="43.5" spans="1:5">
      <c r="A40" s="2"/>
      <c r="B40" s="2" t="s">
        <v>116</v>
      </c>
      <c r="C40" s="2"/>
      <c r="D40" s="2"/>
      <c r="E4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workbookViewId="0">
      <pane ySplit="1" topLeftCell="A82" activePane="bottomLeft" state="frozen"/>
      <selection/>
      <selection pane="bottomLeft" activeCell="J82" sqref="J82"/>
    </sheetView>
  </sheetViews>
  <sheetFormatPr defaultColWidth="9" defaultRowHeight="14"/>
  <cols>
    <col min="1" max="1" width="12" customWidth="1"/>
    <col min="2" max="2" width="14" customWidth="1"/>
    <col min="3" max="3" width="16" hidden="1" customWidth="1"/>
    <col min="4" max="4" width="10" hidden="1" customWidth="1"/>
    <col min="5" max="5" width="24" hidden="1" customWidth="1"/>
    <col min="6" max="6" width="16" customWidth="1"/>
    <col min="7" max="7" width="18" customWidth="1"/>
    <col min="8" max="8" width="16" customWidth="1"/>
    <col min="9" max="9" width="20.5454545454545" customWidth="1"/>
    <col min="10" max="10" width="14" customWidth="1"/>
    <col min="11" max="11" width="34" customWidth="1"/>
  </cols>
  <sheetData>
    <row r="1" ht="16.5" spans="1:11">
      <c r="A1" s="1" t="s">
        <v>117</v>
      </c>
      <c r="B1" s="1" t="s">
        <v>118</v>
      </c>
      <c r="C1" s="1" t="s">
        <v>119</v>
      </c>
      <c r="D1" s="1" t="s">
        <v>6</v>
      </c>
      <c r="E1" s="1" t="s">
        <v>120</v>
      </c>
      <c r="F1" s="1" t="s">
        <v>49</v>
      </c>
      <c r="G1" s="1" t="s">
        <v>52</v>
      </c>
      <c r="H1" s="1" t="s">
        <v>55</v>
      </c>
      <c r="I1" s="1" t="s">
        <v>58</v>
      </c>
      <c r="J1" s="1" t="s">
        <v>65</v>
      </c>
      <c r="K1" s="1" t="s">
        <v>4</v>
      </c>
    </row>
    <row r="2" ht="29" spans="1:11">
      <c r="A2" s="2">
        <v>10001</v>
      </c>
      <c r="B2" s="2" t="s">
        <v>121</v>
      </c>
      <c r="C2" s="2" t="s">
        <v>122</v>
      </c>
      <c r="D2" s="2" t="s">
        <v>123</v>
      </c>
      <c r="E2" s="2" t="s">
        <v>124</v>
      </c>
      <c r="F2" s="2">
        <v>0.0199999995529652</v>
      </c>
      <c r="G2" s="2">
        <v>0.0199999995529652</v>
      </c>
      <c r="H2" s="2">
        <v>0.0199999995529652</v>
      </c>
      <c r="I2" s="2">
        <v>0.349999994039536</v>
      </c>
      <c r="J2" s="2">
        <v>0</v>
      </c>
      <c r="K2" s="2" t="s">
        <v>125</v>
      </c>
    </row>
    <row r="3" ht="29" spans="1:11">
      <c r="A3" s="2">
        <v>10002</v>
      </c>
      <c r="B3" s="2" t="s">
        <v>126</v>
      </c>
      <c r="C3" s="2" t="s">
        <v>127</v>
      </c>
      <c r="D3" s="2" t="s">
        <v>123</v>
      </c>
      <c r="E3" s="2" t="s">
        <v>128</v>
      </c>
      <c r="F3" s="2">
        <v>0.0199999995529652</v>
      </c>
      <c r="G3" s="2">
        <v>0.0199999995529652</v>
      </c>
      <c r="H3" s="2">
        <v>0.0199999995529652</v>
      </c>
      <c r="I3" s="2">
        <v>0.275000005960464</v>
      </c>
      <c r="J3" s="2">
        <v>0</v>
      </c>
      <c r="K3" s="2" t="s">
        <v>125</v>
      </c>
    </row>
    <row r="4" ht="29" spans="1:11">
      <c r="A4" s="2">
        <v>10003</v>
      </c>
      <c r="B4" s="2" t="s">
        <v>129</v>
      </c>
      <c r="C4" s="2" t="s">
        <v>130</v>
      </c>
      <c r="D4" s="2" t="s">
        <v>7</v>
      </c>
      <c r="E4" s="2" t="s">
        <v>131</v>
      </c>
      <c r="F4" s="2">
        <v>0.0199999995529652</v>
      </c>
      <c r="G4" s="2">
        <v>0.0199999995529652</v>
      </c>
      <c r="H4" s="2">
        <v>0.0199999995529652</v>
      </c>
      <c r="I4" s="2">
        <v>0.25</v>
      </c>
      <c r="J4" s="2">
        <v>0</v>
      </c>
      <c r="K4" s="2" t="s">
        <v>125</v>
      </c>
    </row>
    <row r="5" ht="29" spans="1:11">
      <c r="A5" s="2">
        <v>10004</v>
      </c>
      <c r="B5" s="2" t="s">
        <v>132</v>
      </c>
      <c r="C5" s="2" t="s">
        <v>133</v>
      </c>
      <c r="D5" s="2" t="s">
        <v>7</v>
      </c>
      <c r="E5" s="2" t="s">
        <v>134</v>
      </c>
      <c r="F5" s="2">
        <v>0.00999999977648258</v>
      </c>
      <c r="G5" s="2">
        <v>0.00999999977648258</v>
      </c>
      <c r="H5" s="2">
        <v>0.00999999977648258</v>
      </c>
      <c r="I5" s="2">
        <v>0.185000002384186</v>
      </c>
      <c r="J5" s="2">
        <v>0</v>
      </c>
      <c r="K5" s="2" t="s">
        <v>125</v>
      </c>
    </row>
    <row r="6" ht="29" spans="1:11">
      <c r="A6" s="2">
        <v>10005</v>
      </c>
      <c r="B6" s="2" t="s">
        <v>135</v>
      </c>
      <c r="C6" s="2" t="s">
        <v>136</v>
      </c>
      <c r="D6" s="2" t="s">
        <v>123</v>
      </c>
      <c r="E6" s="2" t="s">
        <v>137</v>
      </c>
      <c r="F6" s="2">
        <v>0.0199999995529652</v>
      </c>
      <c r="G6" s="2">
        <v>0.0199999995529652</v>
      </c>
      <c r="H6" s="2">
        <v>0.0199999995529652</v>
      </c>
      <c r="I6" s="2">
        <v>0.524999976158142</v>
      </c>
      <c r="J6" s="2">
        <v>0</v>
      </c>
      <c r="K6" s="2" t="s">
        <v>125</v>
      </c>
    </row>
    <row r="7" ht="29" spans="1:11">
      <c r="A7" s="2">
        <v>10006</v>
      </c>
      <c r="B7" s="2" t="s">
        <v>138</v>
      </c>
      <c r="C7" s="2" t="s">
        <v>139</v>
      </c>
      <c r="D7" s="2" t="s">
        <v>123</v>
      </c>
      <c r="E7" s="2" t="s">
        <v>140</v>
      </c>
      <c r="F7" s="2">
        <v>0.0199999995529652</v>
      </c>
      <c r="G7" s="2">
        <v>0.0199999995529652</v>
      </c>
      <c r="H7" s="2">
        <v>0.0199999995529652</v>
      </c>
      <c r="I7" s="2">
        <v>0.365000009536743</v>
      </c>
      <c r="J7" s="2">
        <v>0</v>
      </c>
      <c r="K7" s="2" t="s">
        <v>125</v>
      </c>
    </row>
    <row r="8" ht="29" spans="1:11">
      <c r="A8" s="2">
        <v>10007</v>
      </c>
      <c r="B8" s="2" t="s">
        <v>141</v>
      </c>
      <c r="C8" s="2" t="s">
        <v>142</v>
      </c>
      <c r="D8" s="2" t="s">
        <v>7</v>
      </c>
      <c r="E8" s="2" t="s">
        <v>143</v>
      </c>
      <c r="F8" s="2">
        <v>0.0199999995529652</v>
      </c>
      <c r="G8" s="2">
        <v>0.0199999995529652</v>
      </c>
      <c r="H8" s="2">
        <v>0.0199999995529652</v>
      </c>
      <c r="I8" s="2">
        <v>0.275000005960464</v>
      </c>
      <c r="J8" s="2">
        <v>0</v>
      </c>
      <c r="K8" s="2" t="s">
        <v>125</v>
      </c>
    </row>
    <row r="9" ht="29" spans="1:11">
      <c r="A9" s="2">
        <v>10008</v>
      </c>
      <c r="B9" s="2" t="s">
        <v>144</v>
      </c>
      <c r="C9" s="2" t="s">
        <v>145</v>
      </c>
      <c r="D9" s="2" t="s">
        <v>123</v>
      </c>
      <c r="E9" s="2" t="s">
        <v>146</v>
      </c>
      <c r="F9" s="2">
        <v>0.0199999995529652</v>
      </c>
      <c r="G9" s="2">
        <v>0.0199999995529652</v>
      </c>
      <c r="H9" s="2">
        <v>0.0199999995529652</v>
      </c>
      <c r="I9" s="2">
        <v>0.300000011920929</v>
      </c>
      <c r="J9" s="2">
        <v>0</v>
      </c>
      <c r="K9" s="2" t="s">
        <v>125</v>
      </c>
    </row>
    <row r="10" ht="29" spans="1:11">
      <c r="A10" s="2">
        <v>10009</v>
      </c>
      <c r="B10" s="2" t="s">
        <v>147</v>
      </c>
      <c r="C10" s="2" t="s">
        <v>148</v>
      </c>
      <c r="D10" s="2" t="s">
        <v>7</v>
      </c>
      <c r="E10" s="2" t="s">
        <v>149</v>
      </c>
      <c r="F10" s="2">
        <v>0.0199999995529652</v>
      </c>
      <c r="G10" s="2">
        <v>0.0199999995529652</v>
      </c>
      <c r="H10" s="2">
        <v>0.0199999995529652</v>
      </c>
      <c r="I10" s="2">
        <v>0.349999994039536</v>
      </c>
      <c r="J10" s="2">
        <v>0</v>
      </c>
      <c r="K10" s="2" t="s">
        <v>125</v>
      </c>
    </row>
    <row r="11" ht="29" spans="1:11">
      <c r="A11" s="2">
        <v>10010</v>
      </c>
      <c r="B11" s="2" t="s">
        <v>150</v>
      </c>
      <c r="C11" s="2" t="s">
        <v>151</v>
      </c>
      <c r="D11" s="2" t="s">
        <v>7</v>
      </c>
      <c r="E11" s="2" t="s">
        <v>152</v>
      </c>
      <c r="F11" s="2">
        <v>0.0199999995529652</v>
      </c>
      <c r="G11" s="2">
        <v>0.0199999995529652</v>
      </c>
      <c r="H11" s="2">
        <v>0.0199999995529652</v>
      </c>
      <c r="I11" s="2">
        <v>0.25</v>
      </c>
      <c r="J11" s="2">
        <v>0</v>
      </c>
      <c r="K11" s="2" t="s">
        <v>125</v>
      </c>
    </row>
    <row r="12" ht="29" spans="1:11">
      <c r="A12" s="2">
        <v>10011</v>
      </c>
      <c r="B12" s="2" t="s">
        <v>153</v>
      </c>
      <c r="C12" s="2" t="s">
        <v>154</v>
      </c>
      <c r="D12" s="2" t="s">
        <v>7</v>
      </c>
      <c r="E12" s="2" t="s">
        <v>155</v>
      </c>
      <c r="F12" s="2">
        <v>0.00999999977648258</v>
      </c>
      <c r="G12" s="2">
        <v>0.00999999977648258</v>
      </c>
      <c r="H12" s="2">
        <v>0.00999999977648258</v>
      </c>
      <c r="I12" s="2">
        <v>0.185000002384186</v>
      </c>
      <c r="J12" s="2">
        <v>0</v>
      </c>
      <c r="K12" s="2" t="s">
        <v>125</v>
      </c>
    </row>
    <row r="13" ht="29" spans="1:11">
      <c r="A13" s="2">
        <v>10012</v>
      </c>
      <c r="B13" s="2" t="s">
        <v>156</v>
      </c>
      <c r="C13" s="2" t="s">
        <v>157</v>
      </c>
      <c r="D13" s="2" t="s">
        <v>123</v>
      </c>
      <c r="E13" s="2" t="s">
        <v>158</v>
      </c>
      <c r="F13" s="2">
        <v>0.0199999995529652</v>
      </c>
      <c r="G13" s="2">
        <v>0.0199999995529652</v>
      </c>
      <c r="H13" s="2">
        <v>0.0199999995529652</v>
      </c>
      <c r="I13" s="2">
        <v>0.300000011920929</v>
      </c>
      <c r="J13" s="2">
        <v>0</v>
      </c>
      <c r="K13" s="2" t="s">
        <v>125</v>
      </c>
    </row>
    <row r="14" ht="29" spans="1:11">
      <c r="A14" s="2">
        <v>10013</v>
      </c>
      <c r="B14" s="2" t="s">
        <v>159</v>
      </c>
      <c r="C14" s="2" t="s">
        <v>160</v>
      </c>
      <c r="D14" s="2" t="s">
        <v>123</v>
      </c>
      <c r="E14" s="2" t="s">
        <v>161</v>
      </c>
      <c r="F14" s="2">
        <v>0.0199999995529652</v>
      </c>
      <c r="G14" s="2">
        <v>0.0199999995529652</v>
      </c>
      <c r="H14" s="2">
        <v>0.0199999995529652</v>
      </c>
      <c r="I14" s="2">
        <v>0.375</v>
      </c>
      <c r="J14" s="2">
        <v>0</v>
      </c>
      <c r="K14" s="2" t="s">
        <v>125</v>
      </c>
    </row>
    <row r="15" ht="29" spans="1:11">
      <c r="A15" s="2">
        <v>10014</v>
      </c>
      <c r="B15" s="2" t="s">
        <v>162</v>
      </c>
      <c r="C15" s="2" t="s">
        <v>163</v>
      </c>
      <c r="D15" s="2" t="s">
        <v>7</v>
      </c>
      <c r="E15" s="2" t="s">
        <v>164</v>
      </c>
      <c r="F15" s="2">
        <v>0.0199999995529652</v>
      </c>
      <c r="G15" s="2">
        <v>0.0199999995529652</v>
      </c>
      <c r="H15" s="2">
        <v>0.0199999995529652</v>
      </c>
      <c r="I15" s="2">
        <v>0.524999976158142</v>
      </c>
      <c r="J15" s="2">
        <v>0.699999988079071</v>
      </c>
      <c r="K15" s="2" t="s">
        <v>125</v>
      </c>
    </row>
    <row r="16" ht="29" spans="1:11">
      <c r="A16" s="2">
        <v>10015</v>
      </c>
      <c r="B16" s="2" t="s">
        <v>165</v>
      </c>
      <c r="C16" s="2" t="s">
        <v>166</v>
      </c>
      <c r="D16" s="2" t="s">
        <v>123</v>
      </c>
      <c r="E16" s="2" t="s">
        <v>167</v>
      </c>
      <c r="F16" s="2">
        <v>0.0199999995529652</v>
      </c>
      <c r="G16" s="2">
        <v>0.0199999995529652</v>
      </c>
      <c r="H16" s="2">
        <v>0.0199999995529652</v>
      </c>
      <c r="I16" s="2">
        <v>0.349999994039536</v>
      </c>
      <c r="J16" s="2">
        <v>0</v>
      </c>
      <c r="K16" s="2" t="s">
        <v>125</v>
      </c>
    </row>
    <row r="17" ht="29" spans="1:11">
      <c r="A17" s="2">
        <v>10016</v>
      </c>
      <c r="B17" s="2" t="s">
        <v>168</v>
      </c>
      <c r="C17" s="2" t="s">
        <v>169</v>
      </c>
      <c r="D17" s="2" t="s">
        <v>123</v>
      </c>
      <c r="E17" s="2" t="s">
        <v>170</v>
      </c>
      <c r="F17" s="2">
        <v>0.0199999995529652</v>
      </c>
      <c r="G17" s="2">
        <v>0.0199999995529652</v>
      </c>
      <c r="H17" s="2">
        <v>0.0199999995529652</v>
      </c>
      <c r="I17" s="2">
        <v>0.375</v>
      </c>
      <c r="J17" s="2">
        <v>0</v>
      </c>
      <c r="K17" s="2" t="s">
        <v>125</v>
      </c>
    </row>
    <row r="18" ht="29" spans="1:11">
      <c r="A18" s="2">
        <v>10017</v>
      </c>
      <c r="B18" s="2" t="s">
        <v>171</v>
      </c>
      <c r="C18" s="2" t="s">
        <v>172</v>
      </c>
      <c r="D18" s="2" t="s">
        <v>7</v>
      </c>
      <c r="E18" s="2" t="s">
        <v>173</v>
      </c>
      <c r="F18" s="2">
        <v>0.0199999995529652</v>
      </c>
      <c r="G18" s="2">
        <v>0.0199999995529652</v>
      </c>
      <c r="H18" s="2">
        <v>0.0199999995529652</v>
      </c>
      <c r="I18" s="2">
        <v>0.275000005960464</v>
      </c>
      <c r="J18" s="2">
        <v>0</v>
      </c>
      <c r="K18" s="2" t="s">
        <v>125</v>
      </c>
    </row>
    <row r="19" ht="29" spans="1:11">
      <c r="A19" s="2">
        <v>10018</v>
      </c>
      <c r="B19" s="2" t="s">
        <v>174</v>
      </c>
      <c r="C19" s="2" t="s">
        <v>175</v>
      </c>
      <c r="D19" s="2" t="s">
        <v>123</v>
      </c>
      <c r="E19" s="2" t="s">
        <v>176</v>
      </c>
      <c r="F19" s="2">
        <v>0.0199999995529652</v>
      </c>
      <c r="G19" s="2">
        <v>0.0199999995529652</v>
      </c>
      <c r="H19" s="2">
        <v>0.0199999995529652</v>
      </c>
      <c r="I19" s="2">
        <v>0.33500000834465</v>
      </c>
      <c r="J19" s="2">
        <v>0</v>
      </c>
      <c r="K19" s="2" t="s">
        <v>125</v>
      </c>
    </row>
    <row r="20" ht="29" spans="1:11">
      <c r="A20" s="2">
        <v>10019</v>
      </c>
      <c r="B20" s="2" t="s">
        <v>177</v>
      </c>
      <c r="C20" s="2" t="s">
        <v>178</v>
      </c>
      <c r="D20" s="2" t="s">
        <v>7</v>
      </c>
      <c r="E20" s="2" t="s">
        <v>179</v>
      </c>
      <c r="F20" s="2">
        <v>0.0199999995529652</v>
      </c>
      <c r="G20" s="2">
        <v>0.0199999995529652</v>
      </c>
      <c r="H20" s="2">
        <v>0.0199999995529652</v>
      </c>
      <c r="I20" s="2">
        <v>0.375</v>
      </c>
      <c r="J20" s="2">
        <v>0</v>
      </c>
      <c r="K20" s="2" t="s">
        <v>125</v>
      </c>
    </row>
    <row r="21" ht="29" spans="1:11">
      <c r="A21" s="2">
        <v>10020</v>
      </c>
      <c r="B21" s="2" t="s">
        <v>180</v>
      </c>
      <c r="C21" s="2" t="s">
        <v>181</v>
      </c>
      <c r="D21" s="2" t="s">
        <v>123</v>
      </c>
      <c r="E21" s="2" t="s">
        <v>182</v>
      </c>
      <c r="F21" s="2">
        <v>0.0199999995529652</v>
      </c>
      <c r="G21" s="2">
        <v>0.0199999995529652</v>
      </c>
      <c r="H21" s="2">
        <v>0.0199999995529652</v>
      </c>
      <c r="I21" s="2">
        <v>0.33500000834465</v>
      </c>
      <c r="J21" s="2">
        <v>0</v>
      </c>
      <c r="K21" s="2" t="s">
        <v>125</v>
      </c>
    </row>
    <row r="22" ht="29" spans="1:11">
      <c r="A22" s="2">
        <v>10021</v>
      </c>
      <c r="B22" s="2" t="s">
        <v>183</v>
      </c>
      <c r="C22" s="2" t="s">
        <v>184</v>
      </c>
      <c r="D22" s="2" t="s">
        <v>7</v>
      </c>
      <c r="E22" s="2" t="s">
        <v>185</v>
      </c>
      <c r="F22" s="2">
        <v>0.0199999995529652</v>
      </c>
      <c r="G22" s="2">
        <v>0.0199999995529652</v>
      </c>
      <c r="H22" s="2">
        <v>0.0199999995529652</v>
      </c>
      <c r="I22" s="2">
        <v>0.300000011920929</v>
      </c>
      <c r="J22" s="2">
        <v>0</v>
      </c>
      <c r="K22" s="2" t="s">
        <v>125</v>
      </c>
    </row>
    <row r="23" ht="29" spans="1:11">
      <c r="A23" s="2">
        <v>10022</v>
      </c>
      <c r="B23" s="2" t="s">
        <v>186</v>
      </c>
      <c r="C23" s="2" t="s">
        <v>187</v>
      </c>
      <c r="D23" s="2" t="s">
        <v>7</v>
      </c>
      <c r="E23" s="2" t="s">
        <v>188</v>
      </c>
      <c r="F23" s="2">
        <v>0.0199999995529652</v>
      </c>
      <c r="G23" s="2">
        <v>0.0199999995529652</v>
      </c>
      <c r="H23" s="2">
        <v>0.0199999995529652</v>
      </c>
      <c r="I23" s="2">
        <v>0.25</v>
      </c>
      <c r="J23" s="2">
        <v>0</v>
      </c>
      <c r="K23" s="2" t="s">
        <v>125</v>
      </c>
    </row>
    <row r="24" ht="29" spans="1:11">
      <c r="A24" s="2">
        <v>10023</v>
      </c>
      <c r="B24" s="2" t="s">
        <v>189</v>
      </c>
      <c r="C24" s="2" t="s">
        <v>190</v>
      </c>
      <c r="D24" s="2" t="s">
        <v>7</v>
      </c>
      <c r="E24" s="2" t="s">
        <v>191</v>
      </c>
      <c r="F24" s="2">
        <v>0.0199999995529652</v>
      </c>
      <c r="G24" s="2">
        <v>0.0199999995529652</v>
      </c>
      <c r="H24" s="2">
        <v>0.0199999995529652</v>
      </c>
      <c r="I24" s="2">
        <v>0.375</v>
      </c>
      <c r="J24" s="2">
        <v>0</v>
      </c>
      <c r="K24" s="2" t="s">
        <v>125</v>
      </c>
    </row>
    <row r="25" ht="29" spans="1:11">
      <c r="A25" s="2">
        <v>10024</v>
      </c>
      <c r="B25" s="2" t="s">
        <v>192</v>
      </c>
      <c r="C25" s="2" t="s">
        <v>193</v>
      </c>
      <c r="D25" s="2" t="s">
        <v>123</v>
      </c>
      <c r="E25" s="2" t="s">
        <v>194</v>
      </c>
      <c r="F25" s="2">
        <v>0.0199999995529652</v>
      </c>
      <c r="G25" s="2">
        <v>0.0199999995529652</v>
      </c>
      <c r="H25" s="2">
        <v>0.0199999995529652</v>
      </c>
      <c r="I25" s="2">
        <v>0.449999988079071</v>
      </c>
      <c r="J25" s="2">
        <v>0.699999988079071</v>
      </c>
      <c r="K25" s="2" t="s">
        <v>125</v>
      </c>
    </row>
    <row r="26" ht="29" spans="1:11">
      <c r="A26" s="2">
        <v>10025</v>
      </c>
      <c r="B26" s="2" t="s">
        <v>195</v>
      </c>
      <c r="C26" s="2" t="s">
        <v>196</v>
      </c>
      <c r="D26" s="2" t="s">
        <v>123</v>
      </c>
      <c r="E26" s="2" t="s">
        <v>197</v>
      </c>
      <c r="F26" s="2">
        <v>0.0199999995529652</v>
      </c>
      <c r="G26" s="2">
        <v>0.0199999995529652</v>
      </c>
      <c r="H26" s="2">
        <v>0.0199999995529652</v>
      </c>
      <c r="I26" s="2">
        <v>0.564999997615814</v>
      </c>
      <c r="J26" s="2">
        <v>0</v>
      </c>
      <c r="K26" s="2" t="s">
        <v>125</v>
      </c>
    </row>
    <row r="27" ht="29" spans="1:11">
      <c r="A27" s="2">
        <v>10026</v>
      </c>
      <c r="B27" s="2" t="s">
        <v>198</v>
      </c>
      <c r="C27" s="2" t="s">
        <v>199</v>
      </c>
      <c r="D27" s="2" t="s">
        <v>7</v>
      </c>
      <c r="E27" s="2" t="s">
        <v>200</v>
      </c>
      <c r="F27" s="2">
        <v>0.0199999995529652</v>
      </c>
      <c r="G27" s="2">
        <v>0.0199999995529652</v>
      </c>
      <c r="H27" s="2">
        <v>0.0199999995529652</v>
      </c>
      <c r="I27" s="2">
        <v>0.275000005960464</v>
      </c>
      <c r="J27" s="2">
        <v>0</v>
      </c>
      <c r="K27" s="2" t="s">
        <v>125</v>
      </c>
    </row>
    <row r="28" ht="29" spans="1:11">
      <c r="A28" s="2">
        <v>10027</v>
      </c>
      <c r="B28" s="2" t="s">
        <v>201</v>
      </c>
      <c r="C28" s="2" t="s">
        <v>202</v>
      </c>
      <c r="D28" s="2" t="s">
        <v>7</v>
      </c>
      <c r="E28" s="2" t="s">
        <v>203</v>
      </c>
      <c r="F28" s="2">
        <v>0.0199999995529652</v>
      </c>
      <c r="G28" s="2">
        <v>0.0199999995529652</v>
      </c>
      <c r="H28" s="2">
        <v>0.0199999995529652</v>
      </c>
      <c r="I28" s="2">
        <v>0.200000002980232</v>
      </c>
      <c r="J28" s="2">
        <v>0</v>
      </c>
      <c r="K28" s="2" t="s">
        <v>125</v>
      </c>
    </row>
    <row r="29" ht="29" spans="1:11">
      <c r="A29" s="2">
        <v>10028</v>
      </c>
      <c r="B29" s="2" t="s">
        <v>204</v>
      </c>
      <c r="C29" s="2" t="s">
        <v>205</v>
      </c>
      <c r="D29" s="2" t="s">
        <v>7</v>
      </c>
      <c r="E29" s="2" t="s">
        <v>206</v>
      </c>
      <c r="F29" s="2">
        <v>0.0199999995529652</v>
      </c>
      <c r="G29" s="2">
        <v>0.0199999995529652</v>
      </c>
      <c r="H29" s="2">
        <v>0.0199999995529652</v>
      </c>
      <c r="I29" s="2">
        <v>0.300000011920929</v>
      </c>
      <c r="J29" s="2">
        <v>0.699999988079071</v>
      </c>
      <c r="K29" s="2" t="s">
        <v>125</v>
      </c>
    </row>
    <row r="30" ht="29" spans="1:11">
      <c r="A30" s="2">
        <v>10029</v>
      </c>
      <c r="B30" s="2" t="s">
        <v>207</v>
      </c>
      <c r="C30" s="2" t="s">
        <v>208</v>
      </c>
      <c r="D30" s="2" t="s">
        <v>7</v>
      </c>
      <c r="E30" s="2" t="s">
        <v>209</v>
      </c>
      <c r="F30" s="2">
        <v>0.0199999995529652</v>
      </c>
      <c r="G30" s="2">
        <v>0.0199999995529652</v>
      </c>
      <c r="H30" s="2">
        <v>0.0199999995529652</v>
      </c>
      <c r="I30" s="2">
        <v>0.349999994039536</v>
      </c>
      <c r="J30" s="2">
        <v>0</v>
      </c>
      <c r="K30" s="2" t="s">
        <v>125</v>
      </c>
    </row>
    <row r="31" ht="29" spans="1:11">
      <c r="A31" s="2">
        <v>10030</v>
      </c>
      <c r="B31" s="2" t="s">
        <v>210</v>
      </c>
      <c r="C31" s="2" t="s">
        <v>211</v>
      </c>
      <c r="D31" s="2" t="s">
        <v>7</v>
      </c>
      <c r="E31" s="2" t="s">
        <v>212</v>
      </c>
      <c r="F31" s="2">
        <v>0.00999999977648258</v>
      </c>
      <c r="G31" s="2">
        <v>0.00999999977648258</v>
      </c>
      <c r="H31" s="2">
        <v>0.00999999977648258</v>
      </c>
      <c r="I31" s="2">
        <v>0.25</v>
      </c>
      <c r="J31" s="2">
        <v>0</v>
      </c>
      <c r="K31" s="2" t="s">
        <v>125</v>
      </c>
    </row>
    <row r="32" ht="29" spans="1:11">
      <c r="A32" s="2">
        <v>10031</v>
      </c>
      <c r="B32" s="2" t="s">
        <v>213</v>
      </c>
      <c r="C32" s="2" t="s">
        <v>214</v>
      </c>
      <c r="D32" s="2" t="s">
        <v>7</v>
      </c>
      <c r="E32" s="2" t="s">
        <v>215</v>
      </c>
      <c r="F32" s="2">
        <v>0.0199999995529652</v>
      </c>
      <c r="G32" s="2">
        <v>0.0199999995529652</v>
      </c>
      <c r="H32" s="2">
        <v>0.0199999995529652</v>
      </c>
      <c r="I32" s="2">
        <v>0.224999994039535</v>
      </c>
      <c r="J32" s="2">
        <v>0</v>
      </c>
      <c r="K32" s="2" t="s">
        <v>125</v>
      </c>
    </row>
    <row r="33" ht="29" spans="1:11">
      <c r="A33" s="2">
        <v>10032</v>
      </c>
      <c r="B33" s="2" t="s">
        <v>216</v>
      </c>
      <c r="C33" s="2" t="s">
        <v>217</v>
      </c>
      <c r="D33" s="2" t="s">
        <v>7</v>
      </c>
      <c r="E33" s="2" t="s">
        <v>218</v>
      </c>
      <c r="F33" s="2">
        <v>0.00999999977648258</v>
      </c>
      <c r="G33" s="2">
        <v>0.00999999977648258</v>
      </c>
      <c r="H33" s="2">
        <v>0.00999999977648258</v>
      </c>
      <c r="I33" s="2">
        <v>0.259999990463257</v>
      </c>
      <c r="J33" s="2">
        <v>0</v>
      </c>
      <c r="K33" s="2" t="s">
        <v>125</v>
      </c>
    </row>
    <row r="34" ht="29" spans="1:11">
      <c r="A34" s="2">
        <v>10033</v>
      </c>
      <c r="B34" s="2" t="s">
        <v>219</v>
      </c>
      <c r="C34" s="2" t="s">
        <v>220</v>
      </c>
      <c r="D34" s="2" t="s">
        <v>123</v>
      </c>
      <c r="E34" s="2" t="s">
        <v>221</v>
      </c>
      <c r="F34" s="2">
        <v>0.00999999977648258</v>
      </c>
      <c r="G34" s="2">
        <v>0.00999999977648258</v>
      </c>
      <c r="H34" s="2">
        <v>0.00999999977648258</v>
      </c>
      <c r="I34" s="2">
        <v>0.425000011920929</v>
      </c>
      <c r="J34" s="2">
        <v>0</v>
      </c>
      <c r="K34" s="2" t="s">
        <v>125</v>
      </c>
    </row>
    <row r="35" ht="29" spans="1:11">
      <c r="A35" s="2">
        <v>10034</v>
      </c>
      <c r="B35" s="2" t="s">
        <v>222</v>
      </c>
      <c r="C35" s="2" t="s">
        <v>223</v>
      </c>
      <c r="D35" s="2" t="s">
        <v>123</v>
      </c>
      <c r="E35" s="2" t="s">
        <v>224</v>
      </c>
      <c r="F35" s="2">
        <v>0.0199999995529652</v>
      </c>
      <c r="G35" s="2">
        <v>0.0199999995529652</v>
      </c>
      <c r="H35" s="2">
        <v>0.0199999995529652</v>
      </c>
      <c r="I35" s="2">
        <v>0.474999994039536</v>
      </c>
      <c r="J35" s="2">
        <v>0.699999988079071</v>
      </c>
      <c r="K35" s="2" t="s">
        <v>125</v>
      </c>
    </row>
    <row r="36" ht="29" spans="1:11">
      <c r="A36" s="2">
        <v>10035</v>
      </c>
      <c r="B36" s="2" t="s">
        <v>225</v>
      </c>
      <c r="C36" s="2" t="s">
        <v>226</v>
      </c>
      <c r="D36" s="2" t="s">
        <v>7</v>
      </c>
      <c r="E36" s="2" t="s">
        <v>227</v>
      </c>
      <c r="F36" s="2">
        <v>0.0199999995529652</v>
      </c>
      <c r="G36" s="2">
        <v>0.0199999995529652</v>
      </c>
      <c r="H36" s="2">
        <v>0.0199999995529652</v>
      </c>
      <c r="I36" s="2">
        <v>0.324999988079071</v>
      </c>
      <c r="J36" s="2">
        <v>0</v>
      </c>
      <c r="K36" s="2" t="s">
        <v>125</v>
      </c>
    </row>
    <row r="37" ht="29" spans="1:11">
      <c r="A37" s="2">
        <v>10036</v>
      </c>
      <c r="B37" s="2" t="s">
        <v>228</v>
      </c>
      <c r="C37" s="2" t="s">
        <v>229</v>
      </c>
      <c r="D37" s="2" t="s">
        <v>7</v>
      </c>
      <c r="E37" s="2" t="s">
        <v>230</v>
      </c>
      <c r="F37" s="2">
        <v>0.00999999977648258</v>
      </c>
      <c r="G37" s="2">
        <v>0.00999999977648258</v>
      </c>
      <c r="H37" s="2">
        <v>0.00999999977648258</v>
      </c>
      <c r="I37" s="2">
        <v>0.259999990463257</v>
      </c>
      <c r="J37" s="2">
        <v>0</v>
      </c>
      <c r="K37" s="2" t="s">
        <v>125</v>
      </c>
    </row>
    <row r="38" ht="29" spans="1:11">
      <c r="A38" s="2">
        <v>10037</v>
      </c>
      <c r="B38" s="2" t="s">
        <v>231</v>
      </c>
      <c r="C38" s="2" t="s">
        <v>232</v>
      </c>
      <c r="D38" s="2" t="s">
        <v>123</v>
      </c>
      <c r="E38" s="2" t="s">
        <v>233</v>
      </c>
      <c r="F38" s="2">
        <v>0.00999999977648258</v>
      </c>
      <c r="G38" s="2">
        <v>0.00999999977648258</v>
      </c>
      <c r="H38" s="2">
        <v>0.00999999977648258</v>
      </c>
      <c r="I38" s="2">
        <v>0.349999994039536</v>
      </c>
      <c r="J38" s="2">
        <v>0</v>
      </c>
      <c r="K38" s="2" t="s">
        <v>125</v>
      </c>
    </row>
    <row r="39" ht="29" spans="1:11">
      <c r="A39" s="2">
        <v>10038</v>
      </c>
      <c r="B39" s="2" t="s">
        <v>234</v>
      </c>
      <c r="C39" s="2" t="s">
        <v>235</v>
      </c>
      <c r="D39" s="2" t="s">
        <v>123</v>
      </c>
      <c r="E39" s="2" t="s">
        <v>236</v>
      </c>
      <c r="F39" s="2">
        <v>0.0199999995529652</v>
      </c>
      <c r="G39" s="2">
        <v>0.0199999995529652</v>
      </c>
      <c r="H39" s="2">
        <v>0.0199999995529652</v>
      </c>
      <c r="I39" s="2">
        <v>0.389999985694885</v>
      </c>
      <c r="J39" s="2">
        <v>0</v>
      </c>
      <c r="K39" s="2" t="s">
        <v>125</v>
      </c>
    </row>
    <row r="40" ht="29" spans="1:11">
      <c r="A40" s="2">
        <v>10039</v>
      </c>
      <c r="B40" s="2" t="s">
        <v>237</v>
      </c>
      <c r="C40" s="2" t="s">
        <v>238</v>
      </c>
      <c r="D40" s="2" t="s">
        <v>7</v>
      </c>
      <c r="E40" s="2" t="s">
        <v>239</v>
      </c>
      <c r="F40" s="2">
        <v>0.0199999995529652</v>
      </c>
      <c r="G40" s="2">
        <v>0.0199999995529652</v>
      </c>
      <c r="H40" s="2">
        <v>0.0199999995529652</v>
      </c>
      <c r="I40" s="2">
        <v>0.324999988079071</v>
      </c>
      <c r="J40" s="2">
        <v>0</v>
      </c>
      <c r="K40" s="2" t="s">
        <v>125</v>
      </c>
    </row>
    <row r="41" ht="29" spans="1:11">
      <c r="A41" s="2">
        <v>10040</v>
      </c>
      <c r="B41" s="2" t="s">
        <v>240</v>
      </c>
      <c r="C41" s="2" t="s">
        <v>241</v>
      </c>
      <c r="D41" s="2" t="s">
        <v>7</v>
      </c>
      <c r="E41" s="2" t="s">
        <v>242</v>
      </c>
      <c r="F41" s="2">
        <v>0.0199999995529652</v>
      </c>
      <c r="G41" s="2">
        <v>0.0199999995529652</v>
      </c>
      <c r="H41" s="2">
        <v>0.0199999995529652</v>
      </c>
      <c r="I41" s="2">
        <v>0.219999998807907</v>
      </c>
      <c r="J41" s="2">
        <v>0</v>
      </c>
      <c r="K41" s="2" t="s">
        <v>125</v>
      </c>
    </row>
    <row r="42" ht="29" spans="1:11">
      <c r="A42" s="2">
        <v>10041</v>
      </c>
      <c r="B42" s="2" t="s">
        <v>243</v>
      </c>
      <c r="C42" s="2" t="s">
        <v>244</v>
      </c>
      <c r="D42" s="2" t="s">
        <v>7</v>
      </c>
      <c r="E42" s="2" t="s">
        <v>245</v>
      </c>
      <c r="F42" s="2">
        <v>0.0199999995529652</v>
      </c>
      <c r="G42" s="2">
        <v>0.0199999995529652</v>
      </c>
      <c r="H42" s="2">
        <v>0.0199999995529652</v>
      </c>
      <c r="I42" s="2">
        <v>0.275000005960464</v>
      </c>
      <c r="J42" s="2">
        <v>0</v>
      </c>
      <c r="K42" s="2" t="s">
        <v>125</v>
      </c>
    </row>
    <row r="43" ht="29" spans="1:11">
      <c r="A43" s="2">
        <v>10042</v>
      </c>
      <c r="B43" s="2" t="s">
        <v>246</v>
      </c>
      <c r="C43" s="2" t="s">
        <v>247</v>
      </c>
      <c r="D43" s="2" t="s">
        <v>7</v>
      </c>
      <c r="E43" s="2" t="s">
        <v>248</v>
      </c>
      <c r="F43" s="2">
        <v>0.00999999977648258</v>
      </c>
      <c r="G43" s="2">
        <v>0.00999999977648258</v>
      </c>
      <c r="H43" s="2">
        <v>0.00999999977648258</v>
      </c>
      <c r="I43" s="2">
        <v>0.209999993443489</v>
      </c>
      <c r="J43" s="2">
        <v>0</v>
      </c>
      <c r="K43" s="2" t="s">
        <v>125</v>
      </c>
    </row>
    <row r="44" ht="29" spans="1:11">
      <c r="A44" s="2">
        <v>10043</v>
      </c>
      <c r="B44" s="2" t="s">
        <v>249</v>
      </c>
      <c r="C44" s="2" t="s">
        <v>250</v>
      </c>
      <c r="D44" s="2" t="s">
        <v>7</v>
      </c>
      <c r="E44" s="2" t="s">
        <v>251</v>
      </c>
      <c r="F44" s="2">
        <v>0.00999999977648258</v>
      </c>
      <c r="G44" s="2">
        <v>0.00999999977648258</v>
      </c>
      <c r="H44" s="2">
        <v>0.00999999977648258</v>
      </c>
      <c r="I44" s="2">
        <v>0.310000002384186</v>
      </c>
      <c r="J44" s="2">
        <v>0</v>
      </c>
      <c r="K44" s="2" t="s">
        <v>125</v>
      </c>
    </row>
    <row r="45" ht="29" spans="1:11">
      <c r="A45" s="2">
        <v>10044</v>
      </c>
      <c r="B45" s="2" t="s">
        <v>252</v>
      </c>
      <c r="C45" s="2" t="s">
        <v>253</v>
      </c>
      <c r="D45" s="2" t="s">
        <v>7</v>
      </c>
      <c r="E45" s="2" t="s">
        <v>254</v>
      </c>
      <c r="F45" s="2">
        <v>0.00999999977648258</v>
      </c>
      <c r="G45" s="2">
        <v>0.00999999977648258</v>
      </c>
      <c r="H45" s="2">
        <v>0.00999999977648258</v>
      </c>
      <c r="I45" s="2">
        <v>0.310000002384186</v>
      </c>
      <c r="J45" s="2">
        <v>0</v>
      </c>
      <c r="K45" s="2" t="s">
        <v>125</v>
      </c>
    </row>
    <row r="46" ht="29" spans="1:11">
      <c r="A46" s="2">
        <v>10045</v>
      </c>
      <c r="B46" s="2" t="s">
        <v>255</v>
      </c>
      <c r="C46" s="2" t="s">
        <v>256</v>
      </c>
      <c r="D46" s="2" t="s">
        <v>7</v>
      </c>
      <c r="E46" s="2" t="s">
        <v>257</v>
      </c>
      <c r="F46" s="2">
        <v>0.00999999977648258</v>
      </c>
      <c r="G46" s="2">
        <v>0.00999999977648258</v>
      </c>
      <c r="H46" s="2">
        <v>0.00999999977648258</v>
      </c>
      <c r="I46" s="2">
        <v>0.259999990463257</v>
      </c>
      <c r="J46" s="2">
        <v>0</v>
      </c>
      <c r="K46" s="2" t="s">
        <v>125</v>
      </c>
    </row>
    <row r="47" ht="29" spans="1:11">
      <c r="A47" s="2">
        <v>10046</v>
      </c>
      <c r="B47" s="2" t="s">
        <v>258</v>
      </c>
      <c r="C47" s="2" t="s">
        <v>259</v>
      </c>
      <c r="D47" s="2" t="s">
        <v>7</v>
      </c>
      <c r="E47" s="2" t="s">
        <v>260</v>
      </c>
      <c r="F47" s="2">
        <v>0.00499999988824129</v>
      </c>
      <c r="G47" s="2">
        <v>0.00499999988824129</v>
      </c>
      <c r="H47" s="2">
        <v>0.00499999988824129</v>
      </c>
      <c r="I47" s="2">
        <v>0.219999998807907</v>
      </c>
      <c r="J47" s="2">
        <v>0</v>
      </c>
      <c r="K47" s="2" t="s">
        <v>125</v>
      </c>
    </row>
    <row r="48" ht="29" spans="1:11">
      <c r="A48" s="2">
        <v>10047</v>
      </c>
      <c r="B48" s="2" t="s">
        <v>261</v>
      </c>
      <c r="C48" s="2" t="s">
        <v>262</v>
      </c>
      <c r="D48" s="2" t="s">
        <v>7</v>
      </c>
      <c r="E48" s="2" t="s">
        <v>263</v>
      </c>
      <c r="F48" s="2">
        <v>0.00499999988824129</v>
      </c>
      <c r="G48" s="2">
        <v>0.00499999988824129</v>
      </c>
      <c r="H48" s="2">
        <v>0.00499999988824129</v>
      </c>
      <c r="I48" s="2">
        <v>0.270000010728836</v>
      </c>
      <c r="J48" s="2">
        <v>0</v>
      </c>
      <c r="K48" s="2" t="s">
        <v>125</v>
      </c>
    </row>
    <row r="49" ht="29" spans="1:11">
      <c r="A49" s="2">
        <v>10048</v>
      </c>
      <c r="B49" s="2" t="s">
        <v>264</v>
      </c>
      <c r="C49" s="2" t="s">
        <v>265</v>
      </c>
      <c r="D49" s="2" t="s">
        <v>7</v>
      </c>
      <c r="E49" s="2" t="s">
        <v>266</v>
      </c>
      <c r="F49" s="2">
        <v>0.00499999988824129</v>
      </c>
      <c r="G49" s="2">
        <v>0.00499999988824129</v>
      </c>
      <c r="H49" s="2">
        <v>0.00499999988824129</v>
      </c>
      <c r="I49" s="2">
        <v>0.194999992847443</v>
      </c>
      <c r="J49" s="2">
        <v>0</v>
      </c>
      <c r="K49" s="2" t="s">
        <v>125</v>
      </c>
    </row>
    <row r="50" ht="29" spans="1:11">
      <c r="A50" s="2">
        <v>10049</v>
      </c>
      <c r="B50" s="2" t="s">
        <v>267</v>
      </c>
      <c r="C50" s="2" t="s">
        <v>268</v>
      </c>
      <c r="D50" s="2" t="s">
        <v>7</v>
      </c>
      <c r="E50" s="2" t="s">
        <v>269</v>
      </c>
      <c r="F50" s="2">
        <v>0.00999999977648258</v>
      </c>
      <c r="G50" s="2">
        <v>0.00999999977648258</v>
      </c>
      <c r="H50" s="2">
        <v>0.00999999977648258</v>
      </c>
      <c r="I50" s="2">
        <v>0.259999990463257</v>
      </c>
      <c r="J50" s="2">
        <v>0</v>
      </c>
      <c r="K50" s="2" t="s">
        <v>125</v>
      </c>
    </row>
    <row r="51" ht="29" spans="1:11">
      <c r="A51" s="2">
        <v>10050</v>
      </c>
      <c r="B51" s="2" t="s">
        <v>270</v>
      </c>
      <c r="C51" s="2" t="s">
        <v>271</v>
      </c>
      <c r="D51" s="2" t="s">
        <v>7</v>
      </c>
      <c r="E51" s="2" t="s">
        <v>272</v>
      </c>
      <c r="F51" s="2">
        <v>0.00999999977648258</v>
      </c>
      <c r="G51" s="2">
        <v>0.00999999977648258</v>
      </c>
      <c r="H51" s="2">
        <v>0.00999999977648258</v>
      </c>
      <c r="I51" s="2">
        <v>0.310000002384186</v>
      </c>
      <c r="J51" s="2">
        <v>0</v>
      </c>
      <c r="K51" s="2" t="s">
        <v>125</v>
      </c>
    </row>
    <row r="52" ht="29" spans="1:11">
      <c r="A52" s="2">
        <v>10051</v>
      </c>
      <c r="B52" s="2" t="s">
        <v>273</v>
      </c>
      <c r="C52" s="2" t="s">
        <v>274</v>
      </c>
      <c r="D52" s="2" t="s">
        <v>7</v>
      </c>
      <c r="E52" s="2" t="s">
        <v>275</v>
      </c>
      <c r="F52" s="2">
        <v>0.00499999988824129</v>
      </c>
      <c r="G52" s="2">
        <v>0.00499999988824129</v>
      </c>
      <c r="H52" s="2">
        <v>0.00499999988824129</v>
      </c>
      <c r="I52" s="2">
        <v>0.194999992847443</v>
      </c>
      <c r="J52" s="2">
        <v>0</v>
      </c>
      <c r="K52" s="2" t="s">
        <v>125</v>
      </c>
    </row>
    <row r="53" ht="29" spans="1:11">
      <c r="A53" s="2">
        <v>10052</v>
      </c>
      <c r="B53" s="2" t="s">
        <v>276</v>
      </c>
      <c r="C53" s="2" t="s">
        <v>277</v>
      </c>
      <c r="D53" s="2" t="s">
        <v>123</v>
      </c>
      <c r="E53" s="2" t="s">
        <v>278</v>
      </c>
      <c r="F53" s="2">
        <v>0.00999999977648258</v>
      </c>
      <c r="G53" s="2">
        <v>0.00999999977648258</v>
      </c>
      <c r="H53" s="2">
        <v>0.00999999977648258</v>
      </c>
      <c r="I53" s="2">
        <v>0.400000005960464</v>
      </c>
      <c r="J53" s="2">
        <v>0</v>
      </c>
      <c r="K53" s="2" t="s">
        <v>125</v>
      </c>
    </row>
    <row r="54" ht="29" spans="1:11">
      <c r="A54" s="2">
        <v>10053</v>
      </c>
      <c r="B54" s="2" t="s">
        <v>279</v>
      </c>
      <c r="C54" s="2" t="s">
        <v>280</v>
      </c>
      <c r="D54" s="2" t="s">
        <v>123</v>
      </c>
      <c r="E54" s="2" t="s">
        <v>281</v>
      </c>
      <c r="F54" s="2">
        <v>0.00499999988824129</v>
      </c>
      <c r="G54" s="2">
        <v>0.00499999988824129</v>
      </c>
      <c r="H54" s="2">
        <v>0.00499999988824129</v>
      </c>
      <c r="I54" s="2">
        <v>0.310000002384186</v>
      </c>
      <c r="J54" s="2">
        <v>0</v>
      </c>
      <c r="K54" s="2" t="s">
        <v>125</v>
      </c>
    </row>
    <row r="55" ht="29" spans="1:11">
      <c r="A55" s="2">
        <v>10054</v>
      </c>
      <c r="B55" s="2" t="s">
        <v>282</v>
      </c>
      <c r="C55" s="2" t="s">
        <v>283</v>
      </c>
      <c r="D55" s="2" t="s">
        <v>123</v>
      </c>
      <c r="E55" s="2" t="s">
        <v>284</v>
      </c>
      <c r="F55" s="2">
        <v>0.0199999995529652</v>
      </c>
      <c r="G55" s="2">
        <v>0.0199999995529652</v>
      </c>
      <c r="H55" s="2">
        <v>0.0199999995529652</v>
      </c>
      <c r="I55" s="2">
        <v>0.275000005960464</v>
      </c>
      <c r="J55" s="2">
        <v>0</v>
      </c>
      <c r="K55" s="2" t="s">
        <v>125</v>
      </c>
    </row>
    <row r="56" ht="29" spans="1:11">
      <c r="A56" s="2">
        <v>10055</v>
      </c>
      <c r="B56" s="2" t="s">
        <v>285</v>
      </c>
      <c r="C56" s="2" t="s">
        <v>286</v>
      </c>
      <c r="D56" s="2" t="s">
        <v>7</v>
      </c>
      <c r="E56" s="2" t="s">
        <v>287</v>
      </c>
      <c r="F56" s="2">
        <v>0.0199999995529652</v>
      </c>
      <c r="G56" s="2">
        <v>0.0199999995529652</v>
      </c>
      <c r="H56" s="2">
        <v>0.0199999995529652</v>
      </c>
      <c r="I56" s="2">
        <v>0.324999988079071</v>
      </c>
      <c r="J56" s="2">
        <v>0</v>
      </c>
      <c r="K56" s="2" t="s">
        <v>125</v>
      </c>
    </row>
    <row r="57" ht="29" spans="1:11">
      <c r="A57" s="2">
        <v>10056</v>
      </c>
      <c r="B57" s="2" t="s">
        <v>288</v>
      </c>
      <c r="C57" s="2" t="s">
        <v>289</v>
      </c>
      <c r="D57" s="2" t="s">
        <v>123</v>
      </c>
      <c r="E57" s="2" t="s">
        <v>290</v>
      </c>
      <c r="F57" s="2">
        <v>0.0199999995529652</v>
      </c>
      <c r="G57" s="2">
        <v>0.0199999995529652</v>
      </c>
      <c r="H57" s="2">
        <v>0.0199999995529652</v>
      </c>
      <c r="I57" s="2">
        <v>0.275000005960464</v>
      </c>
      <c r="J57" s="2">
        <v>0</v>
      </c>
      <c r="K57" s="2" t="s">
        <v>125</v>
      </c>
    </row>
    <row r="58" ht="29" spans="1:11">
      <c r="A58" s="2">
        <v>10057</v>
      </c>
      <c r="B58" s="2" t="s">
        <v>291</v>
      </c>
      <c r="C58" s="2" t="s">
        <v>292</v>
      </c>
      <c r="D58" s="2" t="s">
        <v>123</v>
      </c>
      <c r="E58" s="2" t="s">
        <v>293</v>
      </c>
      <c r="F58" s="2">
        <v>0.0199999995529652</v>
      </c>
      <c r="G58" s="2">
        <v>0.0199999995529652</v>
      </c>
      <c r="H58" s="2">
        <v>0.0199999995529652</v>
      </c>
      <c r="I58" s="2">
        <v>0.324999988079071</v>
      </c>
      <c r="J58" s="2">
        <v>0</v>
      </c>
      <c r="K58" s="2" t="s">
        <v>125</v>
      </c>
    </row>
    <row r="59" ht="29" spans="1:11">
      <c r="A59" s="2">
        <v>10058</v>
      </c>
      <c r="B59" s="2" t="s">
        <v>294</v>
      </c>
      <c r="C59" s="2" t="s">
        <v>295</v>
      </c>
      <c r="D59" s="2" t="s">
        <v>123</v>
      </c>
      <c r="E59" s="2" t="s">
        <v>296</v>
      </c>
      <c r="F59" s="2">
        <v>0.0199999995529652</v>
      </c>
      <c r="G59" s="2">
        <v>0.0199999995529652</v>
      </c>
      <c r="H59" s="2">
        <v>0.0199999995529652</v>
      </c>
      <c r="I59" s="2">
        <v>0.425000011920929</v>
      </c>
      <c r="J59" s="2">
        <v>0.699999988079071</v>
      </c>
      <c r="K59" s="2" t="s">
        <v>125</v>
      </c>
    </row>
    <row r="60" ht="29" spans="1:11">
      <c r="A60" s="2">
        <v>10059</v>
      </c>
      <c r="B60" s="2" t="s">
        <v>297</v>
      </c>
      <c r="C60" s="2" t="s">
        <v>298</v>
      </c>
      <c r="D60" s="2" t="s">
        <v>123</v>
      </c>
      <c r="E60" s="2" t="s">
        <v>299</v>
      </c>
      <c r="F60" s="2">
        <v>0.0199999995529652</v>
      </c>
      <c r="G60" s="2">
        <v>0.0199999995529652</v>
      </c>
      <c r="H60" s="2">
        <v>0.0199999995529652</v>
      </c>
      <c r="I60" s="2">
        <v>0.349999994039536</v>
      </c>
      <c r="J60" s="2">
        <v>0</v>
      </c>
      <c r="K60" s="2" t="s">
        <v>125</v>
      </c>
    </row>
    <row r="61" ht="29" spans="1:11">
      <c r="A61" s="2">
        <v>10060</v>
      </c>
      <c r="B61" s="2" t="s">
        <v>300</v>
      </c>
      <c r="C61" s="2" t="s">
        <v>301</v>
      </c>
      <c r="D61" s="2" t="s">
        <v>123</v>
      </c>
      <c r="E61" s="2" t="s">
        <v>302</v>
      </c>
      <c r="F61" s="2">
        <v>0.0199999995529652</v>
      </c>
      <c r="G61" s="2">
        <v>0.0199999995529652</v>
      </c>
      <c r="H61" s="2">
        <v>0.0199999995529652</v>
      </c>
      <c r="I61" s="2">
        <v>0.275000005960464</v>
      </c>
      <c r="J61" s="2">
        <v>0</v>
      </c>
      <c r="K61" s="2" t="s">
        <v>125</v>
      </c>
    </row>
    <row r="62" ht="29" spans="1:11">
      <c r="A62" s="2">
        <v>10061</v>
      </c>
      <c r="B62" s="2" t="s">
        <v>303</v>
      </c>
      <c r="C62" s="2" t="s">
        <v>304</v>
      </c>
      <c r="D62" s="2" t="s">
        <v>123</v>
      </c>
      <c r="E62" s="2" t="s">
        <v>305</v>
      </c>
      <c r="F62" s="2">
        <v>0.0199999995529652</v>
      </c>
      <c r="G62" s="2">
        <v>0.0199999995529652</v>
      </c>
      <c r="H62" s="2">
        <v>0.0199999995529652</v>
      </c>
      <c r="I62" s="2">
        <v>0.275000005960464</v>
      </c>
      <c r="J62" s="2">
        <v>0.699999988079071</v>
      </c>
      <c r="K62" s="2" t="s">
        <v>125</v>
      </c>
    </row>
    <row r="63" ht="29" spans="1:11">
      <c r="A63" s="2">
        <v>10062</v>
      </c>
      <c r="B63" s="2" t="s">
        <v>306</v>
      </c>
      <c r="C63" s="2" t="s">
        <v>307</v>
      </c>
      <c r="D63" s="2" t="s">
        <v>123</v>
      </c>
      <c r="E63" s="2" t="s">
        <v>308</v>
      </c>
      <c r="F63" s="2">
        <v>0.0199999995529652</v>
      </c>
      <c r="G63" s="2">
        <v>0.0199999995529652</v>
      </c>
      <c r="H63" s="2">
        <v>0.0199999995529652</v>
      </c>
      <c r="I63" s="2">
        <v>0.425000011920929</v>
      </c>
      <c r="J63" s="2">
        <v>0.699999988079071</v>
      </c>
      <c r="K63" s="2" t="s">
        <v>125</v>
      </c>
    </row>
    <row r="64" ht="29" spans="1:11">
      <c r="A64" s="2">
        <v>10063</v>
      </c>
      <c r="B64" s="2" t="s">
        <v>309</v>
      </c>
      <c r="C64" s="2" t="s">
        <v>310</v>
      </c>
      <c r="D64" s="2" t="s">
        <v>123</v>
      </c>
      <c r="E64" s="2" t="s">
        <v>311</v>
      </c>
      <c r="F64" s="2">
        <v>0.0199999995529652</v>
      </c>
      <c r="G64" s="2">
        <v>0.0199999995529652</v>
      </c>
      <c r="H64" s="2">
        <v>0.0199999995529652</v>
      </c>
      <c r="I64" s="2">
        <v>0.275000005960464</v>
      </c>
      <c r="J64" s="2">
        <v>0.699999988079071</v>
      </c>
      <c r="K64" s="2" t="s">
        <v>125</v>
      </c>
    </row>
    <row r="65" ht="29" spans="1:11">
      <c r="A65" s="2">
        <v>10064</v>
      </c>
      <c r="B65" s="2" t="s">
        <v>312</v>
      </c>
      <c r="C65" s="2" t="s">
        <v>313</v>
      </c>
      <c r="D65" s="2" t="s">
        <v>7</v>
      </c>
      <c r="E65" s="2" t="s">
        <v>314</v>
      </c>
      <c r="F65" s="2">
        <v>0.0199999995529652</v>
      </c>
      <c r="G65" s="2">
        <v>0.0199999995529652</v>
      </c>
      <c r="H65" s="2">
        <v>0.0199999995529652</v>
      </c>
      <c r="I65" s="2">
        <v>0.465000003576279</v>
      </c>
      <c r="J65" s="2">
        <v>0</v>
      </c>
      <c r="K65" s="2" t="s">
        <v>125</v>
      </c>
    </row>
    <row r="66" ht="29" spans="1:11">
      <c r="A66" s="2">
        <v>10065</v>
      </c>
      <c r="B66" s="2" t="s">
        <v>315</v>
      </c>
      <c r="C66" s="2" t="s">
        <v>316</v>
      </c>
      <c r="D66" s="2" t="s">
        <v>7</v>
      </c>
      <c r="E66" s="2" t="s">
        <v>317</v>
      </c>
      <c r="F66" s="2">
        <v>0.0199999995529652</v>
      </c>
      <c r="G66" s="2">
        <v>0.0199999995529652</v>
      </c>
      <c r="H66" s="2">
        <v>0.0199999995529652</v>
      </c>
      <c r="I66" s="2">
        <v>0.219999998807907</v>
      </c>
      <c r="J66" s="2">
        <v>0</v>
      </c>
      <c r="K66" s="2" t="s">
        <v>125</v>
      </c>
    </row>
    <row r="67" ht="29" spans="1:11">
      <c r="A67" s="2">
        <v>10066</v>
      </c>
      <c r="B67" s="2" t="s">
        <v>318</v>
      </c>
      <c r="C67" s="2" t="s">
        <v>319</v>
      </c>
      <c r="D67" s="2" t="s">
        <v>123</v>
      </c>
      <c r="E67" s="2" t="s">
        <v>320</v>
      </c>
      <c r="F67" s="2">
        <v>0.0199999995529652</v>
      </c>
      <c r="G67" s="2">
        <v>0.0199999995529652</v>
      </c>
      <c r="H67" s="2">
        <v>0.0199999995529652</v>
      </c>
      <c r="I67" s="2">
        <v>0.524999976158142</v>
      </c>
      <c r="J67" s="2">
        <v>0</v>
      </c>
      <c r="K67" s="2" t="s">
        <v>125</v>
      </c>
    </row>
    <row r="68" ht="29" spans="1:11">
      <c r="A68" s="2">
        <v>10067</v>
      </c>
      <c r="B68" s="2" t="s">
        <v>321</v>
      </c>
      <c r="C68" s="2" t="s">
        <v>322</v>
      </c>
      <c r="D68" s="2" t="s">
        <v>123</v>
      </c>
      <c r="E68" s="2" t="s">
        <v>323</v>
      </c>
      <c r="F68" s="2">
        <v>0.0199999995529652</v>
      </c>
      <c r="G68" s="2">
        <v>0.0199999995529652</v>
      </c>
      <c r="H68" s="2">
        <v>0.0199999995529652</v>
      </c>
      <c r="I68" s="2">
        <v>0.344999998807907</v>
      </c>
      <c r="J68" s="2">
        <v>0</v>
      </c>
      <c r="K68" s="2" t="s">
        <v>125</v>
      </c>
    </row>
    <row r="69" ht="29" spans="1:11">
      <c r="A69" s="2">
        <v>10068</v>
      </c>
      <c r="B69" s="2" t="s">
        <v>324</v>
      </c>
      <c r="C69" s="2" t="s">
        <v>325</v>
      </c>
      <c r="D69" s="2" t="s">
        <v>123</v>
      </c>
      <c r="E69" s="2" t="s">
        <v>326</v>
      </c>
      <c r="F69" s="2">
        <v>0.0199999995529652</v>
      </c>
      <c r="G69" s="2">
        <v>0.0199999995529652</v>
      </c>
      <c r="H69" s="2">
        <v>0.0199999995529652</v>
      </c>
      <c r="I69" s="2">
        <v>0.25</v>
      </c>
      <c r="J69" s="2">
        <v>0.699999988079071</v>
      </c>
      <c r="K69" s="2" t="s">
        <v>125</v>
      </c>
    </row>
    <row r="70" ht="29" spans="1:11">
      <c r="A70" s="2">
        <v>10069</v>
      </c>
      <c r="B70" s="2" t="s">
        <v>327</v>
      </c>
      <c r="C70" s="2" t="s">
        <v>328</v>
      </c>
      <c r="D70" s="2" t="s">
        <v>123</v>
      </c>
      <c r="E70" s="2" t="s">
        <v>329</v>
      </c>
      <c r="F70" s="2">
        <v>0.0199999995529652</v>
      </c>
      <c r="G70" s="2">
        <v>0.0199999995529652</v>
      </c>
      <c r="H70" s="2">
        <v>0.0199999995529652</v>
      </c>
      <c r="I70" s="2">
        <v>0.409999996423721</v>
      </c>
      <c r="J70" s="2">
        <v>0</v>
      </c>
      <c r="K70" s="2" t="s">
        <v>125</v>
      </c>
    </row>
    <row r="71" ht="29" spans="1:11">
      <c r="A71" s="2">
        <v>10070</v>
      </c>
      <c r="B71" s="2" t="s">
        <v>330</v>
      </c>
      <c r="C71" s="2" t="s">
        <v>331</v>
      </c>
      <c r="D71" s="2" t="s">
        <v>123</v>
      </c>
      <c r="E71" s="2" t="s">
        <v>332</v>
      </c>
      <c r="F71" s="2">
        <v>0.0199999995529652</v>
      </c>
      <c r="G71" s="2">
        <v>0.0199999995529652</v>
      </c>
      <c r="H71" s="2">
        <v>0.0199999995529652</v>
      </c>
      <c r="I71" s="2">
        <v>0.33500000834465</v>
      </c>
      <c r="J71" s="2">
        <v>0.699999988079071</v>
      </c>
      <c r="K71" s="2" t="s">
        <v>125</v>
      </c>
    </row>
    <row r="72" ht="29" spans="1:11">
      <c r="A72" s="2">
        <v>10071</v>
      </c>
      <c r="B72" s="2" t="s">
        <v>333</v>
      </c>
      <c r="C72" s="2" t="s">
        <v>334</v>
      </c>
      <c r="D72" s="2" t="s">
        <v>123</v>
      </c>
      <c r="E72" s="2" t="s">
        <v>335</v>
      </c>
      <c r="F72" s="2">
        <v>0.0199999995529652</v>
      </c>
      <c r="G72" s="2">
        <v>0.0199999995529652</v>
      </c>
      <c r="H72" s="2">
        <v>0.0199999995529652</v>
      </c>
      <c r="I72" s="2">
        <v>0.349999994039536</v>
      </c>
      <c r="J72" s="2">
        <v>0</v>
      </c>
      <c r="K72" s="2" t="s">
        <v>125</v>
      </c>
    </row>
    <row r="73" ht="29" spans="1:11">
      <c r="A73" s="2">
        <v>10072</v>
      </c>
      <c r="B73" s="2" t="s">
        <v>336</v>
      </c>
      <c r="C73" s="2" t="s">
        <v>337</v>
      </c>
      <c r="D73" s="2" t="s">
        <v>7</v>
      </c>
      <c r="E73" s="2" t="s">
        <v>338</v>
      </c>
      <c r="F73" s="2">
        <v>0.00999999977648258</v>
      </c>
      <c r="G73" s="2">
        <v>0.00999999977648258</v>
      </c>
      <c r="H73" s="2">
        <v>0.00999999977648258</v>
      </c>
      <c r="I73" s="2">
        <v>0.400000005960464</v>
      </c>
      <c r="J73" s="2">
        <v>0</v>
      </c>
      <c r="K73" s="2" t="s">
        <v>125</v>
      </c>
    </row>
    <row r="74" ht="29" spans="1:11">
      <c r="A74" s="2">
        <v>10073</v>
      </c>
      <c r="B74" s="2" t="s">
        <v>339</v>
      </c>
      <c r="C74" s="2" t="s">
        <v>340</v>
      </c>
      <c r="D74" s="2" t="s">
        <v>7</v>
      </c>
      <c r="E74" s="2" t="s">
        <v>341</v>
      </c>
      <c r="F74" s="2">
        <v>0.0199999995529652</v>
      </c>
      <c r="G74" s="2">
        <v>0.0199999995529652</v>
      </c>
      <c r="H74" s="2">
        <v>0.0199999995529652</v>
      </c>
      <c r="I74" s="2">
        <v>0.349999994039536</v>
      </c>
      <c r="J74" s="2">
        <v>0</v>
      </c>
      <c r="K74" s="2" t="s">
        <v>125</v>
      </c>
    </row>
    <row r="75" ht="29" spans="1:11">
      <c r="A75" s="2">
        <v>10074</v>
      </c>
      <c r="B75" s="2" t="s">
        <v>342</v>
      </c>
      <c r="C75" s="2" t="s">
        <v>343</v>
      </c>
      <c r="D75" s="2" t="s">
        <v>123</v>
      </c>
      <c r="E75" s="2" t="s">
        <v>344</v>
      </c>
      <c r="F75" s="2">
        <v>0.0199999995529652</v>
      </c>
      <c r="G75" s="2">
        <v>0.0199999995529652</v>
      </c>
      <c r="H75" s="2">
        <v>0.0199999995529652</v>
      </c>
      <c r="I75" s="2">
        <v>0.389999985694885</v>
      </c>
      <c r="J75" s="2">
        <v>0</v>
      </c>
      <c r="K75" s="2" t="s">
        <v>125</v>
      </c>
    </row>
    <row r="76" ht="29" spans="1:11">
      <c r="A76" s="2">
        <v>10075</v>
      </c>
      <c r="B76" s="2" t="s">
        <v>282</v>
      </c>
      <c r="C76" s="2" t="s">
        <v>345</v>
      </c>
      <c r="D76" s="2" t="s">
        <v>7</v>
      </c>
      <c r="E76" s="2" t="s">
        <v>346</v>
      </c>
      <c r="F76" s="2">
        <v>0.0199999995529652</v>
      </c>
      <c r="G76" s="2">
        <v>0.0199999995529652</v>
      </c>
      <c r="H76" s="2">
        <v>0.0199999995529652</v>
      </c>
      <c r="I76" s="2">
        <v>0.324999988079071</v>
      </c>
      <c r="J76" s="2">
        <v>0</v>
      </c>
      <c r="K76" s="2" t="s">
        <v>125</v>
      </c>
    </row>
    <row r="77" ht="29" spans="1:11">
      <c r="A77" s="2">
        <v>10076</v>
      </c>
      <c r="B77" s="2" t="s">
        <v>347</v>
      </c>
      <c r="C77" s="2" t="s">
        <v>348</v>
      </c>
      <c r="D77" s="2" t="s">
        <v>7</v>
      </c>
      <c r="E77" s="2" t="s">
        <v>349</v>
      </c>
      <c r="F77" s="2">
        <v>0.0199999995529652</v>
      </c>
      <c r="G77" s="2">
        <v>0.0199999995529652</v>
      </c>
      <c r="H77" s="2">
        <v>0.0199999995529652</v>
      </c>
      <c r="I77" s="2">
        <v>0.349999994039536</v>
      </c>
      <c r="J77" s="2">
        <v>0</v>
      </c>
      <c r="K77" s="2" t="s">
        <v>125</v>
      </c>
    </row>
    <row r="78" ht="29" spans="1:11">
      <c r="A78" s="2">
        <v>10077</v>
      </c>
      <c r="B78" s="2" t="s">
        <v>350</v>
      </c>
      <c r="C78" s="2" t="s">
        <v>351</v>
      </c>
      <c r="D78" s="2" t="s">
        <v>7</v>
      </c>
      <c r="E78" s="2" t="s">
        <v>352</v>
      </c>
      <c r="F78" s="2">
        <v>0.00999999977648258</v>
      </c>
      <c r="G78" s="2">
        <v>0.00999999977648258</v>
      </c>
      <c r="H78" s="2">
        <v>0.00999999977648258</v>
      </c>
      <c r="I78" s="2">
        <v>0.209999993443489</v>
      </c>
      <c r="J78" s="2">
        <v>0</v>
      </c>
      <c r="K78" s="2" t="s">
        <v>125</v>
      </c>
    </row>
    <row r="79" ht="29" spans="1:11">
      <c r="A79" s="2">
        <v>10078</v>
      </c>
      <c r="B79" s="2" t="s">
        <v>353</v>
      </c>
      <c r="C79" s="2" t="s">
        <v>354</v>
      </c>
      <c r="D79" s="2" t="s">
        <v>123</v>
      </c>
      <c r="E79" s="2" t="s">
        <v>355</v>
      </c>
      <c r="F79" s="2">
        <v>0.0199999995529652</v>
      </c>
      <c r="G79" s="2">
        <v>0.0199999995529652</v>
      </c>
      <c r="H79" s="2">
        <v>0.0199999995529652</v>
      </c>
      <c r="I79" s="2">
        <v>0.349999994039536</v>
      </c>
      <c r="J79" s="2">
        <v>0.699999988079071</v>
      </c>
      <c r="K79" s="2" t="s">
        <v>125</v>
      </c>
    </row>
    <row r="80" ht="29" spans="1:11">
      <c r="A80" s="2">
        <v>10079</v>
      </c>
      <c r="B80" s="2" t="s">
        <v>356</v>
      </c>
      <c r="C80" s="2" t="s">
        <v>357</v>
      </c>
      <c r="D80" s="2" t="s">
        <v>123</v>
      </c>
      <c r="E80" s="2" t="s">
        <v>358</v>
      </c>
      <c r="F80" s="2">
        <v>0.0199999995529652</v>
      </c>
      <c r="G80" s="2">
        <v>0.0199999995529652</v>
      </c>
      <c r="H80" s="2">
        <v>0.0199999995529652</v>
      </c>
      <c r="I80" s="2">
        <v>0.275000005960464</v>
      </c>
      <c r="J80" s="2">
        <v>0</v>
      </c>
      <c r="K80" s="2" t="s">
        <v>125</v>
      </c>
    </row>
    <row r="81" ht="29" spans="1:11">
      <c r="A81" s="2">
        <v>10080</v>
      </c>
      <c r="B81" s="2" t="s">
        <v>359</v>
      </c>
      <c r="C81" s="2" t="s">
        <v>360</v>
      </c>
      <c r="D81" s="2" t="s">
        <v>123</v>
      </c>
      <c r="E81" s="2" t="s">
        <v>361</v>
      </c>
      <c r="F81" s="2">
        <v>0.00999999977648258</v>
      </c>
      <c r="G81" s="2">
        <v>0.00999999977648258</v>
      </c>
      <c r="H81" s="2">
        <v>0.00999999977648258</v>
      </c>
      <c r="I81" s="2">
        <v>0.400000005960464</v>
      </c>
      <c r="J81" s="2">
        <v>0</v>
      </c>
      <c r="K81" s="2" t="s">
        <v>125</v>
      </c>
    </row>
    <row r="82" ht="29" spans="1:11">
      <c r="A82" s="2">
        <v>10081</v>
      </c>
      <c r="B82" s="2" t="s">
        <v>362</v>
      </c>
      <c r="C82" s="2" t="s">
        <v>363</v>
      </c>
      <c r="D82" s="2" t="s">
        <v>7</v>
      </c>
      <c r="E82" s="2" t="s">
        <v>364</v>
      </c>
      <c r="F82" s="2">
        <v>0.0199999995529652</v>
      </c>
      <c r="G82" s="2">
        <v>0.0199999995529652</v>
      </c>
      <c r="H82" s="2">
        <v>0.0199999995529652</v>
      </c>
      <c r="I82" s="10" t="s">
        <v>60</v>
      </c>
      <c r="J82" s="10" t="s">
        <v>67</v>
      </c>
      <c r="K82" s="2" t="s">
        <v>125</v>
      </c>
    </row>
    <row r="83" ht="29" spans="1:11">
      <c r="A83" s="2">
        <v>10082</v>
      </c>
      <c r="B83" s="2" t="s">
        <v>365</v>
      </c>
      <c r="C83" s="2" t="s">
        <v>366</v>
      </c>
      <c r="D83" s="2" t="s">
        <v>7</v>
      </c>
      <c r="E83" s="2" t="s">
        <v>367</v>
      </c>
      <c r="F83" s="2">
        <v>0.0199999995529652</v>
      </c>
      <c r="G83" s="2">
        <v>0.0199999995529652</v>
      </c>
      <c r="H83" s="2">
        <v>0.0199999995529652</v>
      </c>
      <c r="I83" s="2">
        <v>0.439999997615814</v>
      </c>
      <c r="J83" s="2">
        <v>0</v>
      </c>
      <c r="K83" s="2" t="s">
        <v>125</v>
      </c>
    </row>
    <row r="84" ht="29" spans="1:11">
      <c r="A84" s="2">
        <v>10083</v>
      </c>
      <c r="B84" s="2" t="s">
        <v>368</v>
      </c>
      <c r="C84" s="2" t="s">
        <v>369</v>
      </c>
      <c r="D84" s="2" t="s">
        <v>7</v>
      </c>
      <c r="E84" s="2" t="s">
        <v>370</v>
      </c>
      <c r="F84" s="2">
        <v>0.00999999977648258</v>
      </c>
      <c r="G84" s="2">
        <v>0.00999999977648258</v>
      </c>
      <c r="H84" s="2">
        <v>0.00999999977648258</v>
      </c>
      <c r="I84" s="2">
        <v>0.259999990463257</v>
      </c>
      <c r="J84" s="2">
        <v>0</v>
      </c>
      <c r="K84" s="2" t="s">
        <v>125</v>
      </c>
    </row>
    <row r="85" ht="29" spans="1:11">
      <c r="A85" s="2">
        <v>10084</v>
      </c>
      <c r="B85" s="2" t="s">
        <v>371</v>
      </c>
      <c r="C85" s="2" t="s">
        <v>372</v>
      </c>
      <c r="D85" s="2" t="s">
        <v>123</v>
      </c>
      <c r="E85" s="2" t="s">
        <v>373</v>
      </c>
      <c r="F85" s="2">
        <v>0.0199999995529652</v>
      </c>
      <c r="G85" s="2">
        <v>0.0199999995529652</v>
      </c>
      <c r="H85" s="2">
        <v>0.0199999995529652</v>
      </c>
      <c r="I85" s="2">
        <v>0.25</v>
      </c>
      <c r="J85" s="2">
        <v>0</v>
      </c>
      <c r="K85" s="2" t="s">
        <v>125</v>
      </c>
    </row>
    <row r="86" ht="29" spans="1:11">
      <c r="A86" s="2">
        <v>10085</v>
      </c>
      <c r="B86" s="2" t="s">
        <v>374</v>
      </c>
      <c r="C86" s="2" t="s">
        <v>375</v>
      </c>
      <c r="D86" s="2" t="s">
        <v>7</v>
      </c>
      <c r="E86" s="2" t="s">
        <v>376</v>
      </c>
      <c r="F86" s="2">
        <v>0.0199999995529652</v>
      </c>
      <c r="G86" s="2">
        <v>0.0199999995529652</v>
      </c>
      <c r="H86" s="2">
        <v>0.0199999995529652</v>
      </c>
      <c r="I86" s="2">
        <v>0.465000003576279</v>
      </c>
      <c r="J86" s="2">
        <v>0</v>
      </c>
      <c r="K86" s="2" t="s">
        <v>125</v>
      </c>
    </row>
    <row r="87" ht="29" spans="1:11">
      <c r="A87" s="2">
        <v>10086</v>
      </c>
      <c r="B87" s="2" t="s">
        <v>377</v>
      </c>
      <c r="C87" s="2" t="s">
        <v>378</v>
      </c>
      <c r="D87" s="2" t="s">
        <v>123</v>
      </c>
      <c r="E87" s="2" t="s">
        <v>379</v>
      </c>
      <c r="F87" s="2">
        <v>0.0199999995529652</v>
      </c>
      <c r="G87" s="2">
        <v>0.0199999995529652</v>
      </c>
      <c r="H87" s="2">
        <v>0.0199999995529652</v>
      </c>
      <c r="I87" s="2">
        <v>0.365000009536743</v>
      </c>
      <c r="J87" s="2">
        <v>0</v>
      </c>
      <c r="K87" s="2" t="s">
        <v>125</v>
      </c>
    </row>
    <row r="88" ht="29" spans="1:11">
      <c r="A88" s="2">
        <v>10087</v>
      </c>
      <c r="B88" s="2" t="s">
        <v>380</v>
      </c>
      <c r="C88" s="2" t="s">
        <v>381</v>
      </c>
      <c r="D88" s="2" t="s">
        <v>123</v>
      </c>
      <c r="E88" s="2" t="s">
        <v>382</v>
      </c>
      <c r="F88" s="2">
        <v>0.0199999995529652</v>
      </c>
      <c r="G88" s="2">
        <v>0.0199999995529652</v>
      </c>
      <c r="H88" s="2">
        <v>0.0199999995529652</v>
      </c>
      <c r="I88" s="2">
        <v>0.439999997615814</v>
      </c>
      <c r="J88" s="2">
        <v>0</v>
      </c>
      <c r="K88" s="2" t="s">
        <v>125</v>
      </c>
    </row>
    <row r="89" ht="29" spans="1:11">
      <c r="A89" s="2">
        <v>10088</v>
      </c>
      <c r="B89" s="2" t="s">
        <v>383</v>
      </c>
      <c r="C89" s="2" t="s">
        <v>384</v>
      </c>
      <c r="D89" s="2" t="s">
        <v>123</v>
      </c>
      <c r="E89" s="2" t="s">
        <v>385</v>
      </c>
      <c r="F89" s="2">
        <v>0.0199999995529652</v>
      </c>
      <c r="G89" s="2">
        <v>0.0199999995529652</v>
      </c>
      <c r="H89" s="2">
        <v>0.0199999995529652</v>
      </c>
      <c r="I89" s="2">
        <v>0.349999994039536</v>
      </c>
      <c r="J89" s="2">
        <v>0</v>
      </c>
      <c r="K89" s="2" t="s">
        <v>125</v>
      </c>
    </row>
    <row r="90" ht="29" spans="1:11">
      <c r="A90" s="2">
        <v>10089</v>
      </c>
      <c r="B90" s="2" t="s">
        <v>383</v>
      </c>
      <c r="C90" s="2" t="s">
        <v>386</v>
      </c>
      <c r="D90" s="2" t="s">
        <v>7</v>
      </c>
      <c r="E90" s="2" t="s">
        <v>387</v>
      </c>
      <c r="F90" s="2">
        <v>0.0199999995529652</v>
      </c>
      <c r="G90" s="2">
        <v>0.0199999995529652</v>
      </c>
      <c r="H90" s="2">
        <v>0.0199999995529652</v>
      </c>
      <c r="I90" s="2">
        <v>0.25</v>
      </c>
      <c r="J90" s="2">
        <v>0</v>
      </c>
      <c r="K90" s="2" t="s">
        <v>125</v>
      </c>
    </row>
    <row r="91" ht="29" spans="1:11">
      <c r="A91" s="2">
        <v>10090</v>
      </c>
      <c r="B91" s="2" t="s">
        <v>383</v>
      </c>
      <c r="C91" s="2" t="s">
        <v>388</v>
      </c>
      <c r="D91" s="2" t="s">
        <v>7</v>
      </c>
      <c r="E91" s="2" t="s">
        <v>389</v>
      </c>
      <c r="F91" s="2">
        <v>0.0199999995529652</v>
      </c>
      <c r="G91" s="2">
        <v>0.0199999995529652</v>
      </c>
      <c r="H91" s="2">
        <v>0.0199999995529652</v>
      </c>
      <c r="I91" s="2">
        <v>0.275000005960464</v>
      </c>
      <c r="J91" s="2">
        <v>0</v>
      </c>
      <c r="K91" s="2" t="s">
        <v>125</v>
      </c>
    </row>
    <row r="92" ht="29" spans="1:11">
      <c r="A92" s="2">
        <v>10091</v>
      </c>
      <c r="B92" s="2" t="s">
        <v>383</v>
      </c>
      <c r="C92" s="2" t="s">
        <v>390</v>
      </c>
      <c r="D92" s="2" t="s">
        <v>123</v>
      </c>
      <c r="E92" s="2" t="s">
        <v>391</v>
      </c>
      <c r="F92" s="2">
        <v>0.0199999995529652</v>
      </c>
      <c r="G92" s="2">
        <v>0.0199999995529652</v>
      </c>
      <c r="H92" s="2">
        <v>0.0199999995529652</v>
      </c>
      <c r="I92" s="2">
        <v>0.375</v>
      </c>
      <c r="J92" s="2">
        <v>0</v>
      </c>
      <c r="K92" s="2" t="s">
        <v>125</v>
      </c>
    </row>
    <row r="93" ht="29" spans="1:11">
      <c r="A93" s="2">
        <v>10092</v>
      </c>
      <c r="B93" s="2" t="s">
        <v>383</v>
      </c>
      <c r="C93" s="2" t="s">
        <v>392</v>
      </c>
      <c r="D93" s="2" t="s">
        <v>123</v>
      </c>
      <c r="E93" s="2" t="s">
        <v>393</v>
      </c>
      <c r="F93" s="2">
        <v>0.0199999995529652</v>
      </c>
      <c r="G93" s="2">
        <v>0.0199999995529652</v>
      </c>
      <c r="H93" s="2">
        <v>0.0199999995529652</v>
      </c>
      <c r="I93" s="2">
        <v>0.400000005960464</v>
      </c>
      <c r="J93" s="2">
        <v>0</v>
      </c>
      <c r="K93" s="2" t="s">
        <v>125</v>
      </c>
    </row>
    <row r="94" ht="29" spans="1:11">
      <c r="A94" s="2">
        <v>10093</v>
      </c>
      <c r="B94" s="2" t="s">
        <v>121</v>
      </c>
      <c r="C94" s="2" t="s">
        <v>122</v>
      </c>
      <c r="D94" s="2" t="s">
        <v>7</v>
      </c>
      <c r="E94" s="2" t="s">
        <v>124</v>
      </c>
      <c r="F94" s="2">
        <v>0.0199999995529652</v>
      </c>
      <c r="G94" s="2">
        <v>0.0199999995529652</v>
      </c>
      <c r="H94" s="2">
        <v>0.0199999995529652</v>
      </c>
      <c r="I94" s="2">
        <v>0.400000005960464</v>
      </c>
      <c r="J94" s="2">
        <v>0</v>
      </c>
      <c r="K94" s="2" t="s">
        <v>125</v>
      </c>
    </row>
    <row r="95" ht="29" spans="1:11">
      <c r="A95" s="2">
        <v>10094</v>
      </c>
      <c r="B95" s="2" t="s">
        <v>383</v>
      </c>
      <c r="C95" s="2" t="s">
        <v>394</v>
      </c>
      <c r="D95" s="2" t="s">
        <v>123</v>
      </c>
      <c r="E95" s="2" t="s">
        <v>395</v>
      </c>
      <c r="F95" s="2">
        <v>0.0199999995529652</v>
      </c>
      <c r="G95" s="2">
        <v>0.0199999995529652</v>
      </c>
      <c r="H95" s="2">
        <v>0.0199999995529652</v>
      </c>
      <c r="I95" s="2">
        <v>0.400000005960464</v>
      </c>
      <c r="J95" s="2">
        <v>0</v>
      </c>
      <c r="K95" s="2" t="s">
        <v>125</v>
      </c>
    </row>
    <row r="96" ht="29" spans="1:11">
      <c r="A96" s="2">
        <v>10095</v>
      </c>
      <c r="B96" s="2" t="s">
        <v>383</v>
      </c>
      <c r="C96" s="2" t="s">
        <v>396</v>
      </c>
      <c r="D96" s="2" t="s">
        <v>123</v>
      </c>
      <c r="E96" s="2" t="s">
        <v>397</v>
      </c>
      <c r="F96" s="2">
        <v>0.0199999995529652</v>
      </c>
      <c r="G96" s="2">
        <v>0.0199999995529652</v>
      </c>
      <c r="H96" s="2">
        <v>0.0199999995529652</v>
      </c>
      <c r="I96" s="2">
        <v>0.400000005960464</v>
      </c>
      <c r="J96" s="2">
        <v>0</v>
      </c>
      <c r="K96" s="2" t="s">
        <v>125</v>
      </c>
    </row>
    <row r="97" ht="29" spans="1:11">
      <c r="A97" s="2">
        <v>10096</v>
      </c>
      <c r="B97" s="2" t="s">
        <v>121</v>
      </c>
      <c r="C97" s="2" t="s">
        <v>398</v>
      </c>
      <c r="D97" s="2" t="s">
        <v>7</v>
      </c>
      <c r="E97" s="2" t="s">
        <v>124</v>
      </c>
      <c r="F97" s="2">
        <v>0.0199999995529652</v>
      </c>
      <c r="G97" s="2">
        <v>0.0199999995529652</v>
      </c>
      <c r="H97" s="2">
        <v>0.0199999995529652</v>
      </c>
      <c r="I97" s="2">
        <v>0.400000005960464</v>
      </c>
      <c r="J97" s="2">
        <v>0</v>
      </c>
      <c r="K97" s="2" t="s">
        <v>125</v>
      </c>
    </row>
    <row r="98" ht="29" spans="1:11">
      <c r="A98" s="2">
        <v>10097</v>
      </c>
      <c r="B98" s="2" t="s">
        <v>383</v>
      </c>
      <c r="C98" s="2" t="s">
        <v>399</v>
      </c>
      <c r="D98" s="2" t="s">
        <v>7</v>
      </c>
      <c r="E98" s="2" t="s">
        <v>400</v>
      </c>
      <c r="F98" s="2">
        <v>0.0199999995529652</v>
      </c>
      <c r="G98" s="2">
        <v>0.0199999995529652</v>
      </c>
      <c r="H98" s="2">
        <v>0.0199999995529652</v>
      </c>
      <c r="I98" s="2">
        <v>0.400000005960464</v>
      </c>
      <c r="J98" s="2">
        <v>0</v>
      </c>
      <c r="K98" s="2" t="s">
        <v>125</v>
      </c>
    </row>
    <row r="99" ht="29" spans="1:11">
      <c r="A99" s="2">
        <v>10098</v>
      </c>
      <c r="B99" s="2" t="s">
        <v>121</v>
      </c>
      <c r="C99" s="2" t="s">
        <v>122</v>
      </c>
      <c r="D99" s="2" t="s">
        <v>7</v>
      </c>
      <c r="E99" s="2" t="s">
        <v>124</v>
      </c>
      <c r="F99" s="2">
        <v>0.0199999995529652</v>
      </c>
      <c r="G99" s="2">
        <v>0.0199999995529652</v>
      </c>
      <c r="H99" s="2">
        <v>0.0199999995529652</v>
      </c>
      <c r="I99" s="2">
        <v>0.400000005960464</v>
      </c>
      <c r="J99" s="2">
        <v>0</v>
      </c>
      <c r="K99" s="2" t="s">
        <v>125</v>
      </c>
    </row>
    <row r="100" ht="29" spans="1:11">
      <c r="A100" s="2">
        <v>10099</v>
      </c>
      <c r="B100" s="2" t="s">
        <v>121</v>
      </c>
      <c r="C100" s="2" t="s">
        <v>122</v>
      </c>
      <c r="D100" s="2" t="s">
        <v>7</v>
      </c>
      <c r="E100" s="2" t="s">
        <v>124</v>
      </c>
      <c r="F100" s="2">
        <v>0.0199999995529652</v>
      </c>
      <c r="G100" s="2">
        <v>0.0199999995529652</v>
      </c>
      <c r="H100" s="2">
        <v>0.0199999995529652</v>
      </c>
      <c r="I100" s="2">
        <v>0.400000005960464</v>
      </c>
      <c r="J100" s="2">
        <v>0</v>
      </c>
      <c r="K100" s="2" t="s">
        <v>125</v>
      </c>
    </row>
    <row r="101" ht="29" spans="1:11">
      <c r="A101" s="2">
        <v>10100</v>
      </c>
      <c r="B101" s="2" t="s">
        <v>383</v>
      </c>
      <c r="C101" s="2" t="s">
        <v>401</v>
      </c>
      <c r="D101" s="2" t="s">
        <v>7</v>
      </c>
      <c r="E101" s="2" t="s">
        <v>402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 t="s">
        <v>125</v>
      </c>
    </row>
    <row r="102" ht="29" spans="1:11">
      <c r="A102" s="2">
        <v>10101</v>
      </c>
      <c r="B102" s="2" t="s">
        <v>383</v>
      </c>
      <c r="C102" s="2" t="s">
        <v>403</v>
      </c>
      <c r="D102" s="2" t="s">
        <v>7</v>
      </c>
      <c r="E102" s="2" t="s">
        <v>404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 t="s">
        <v>125</v>
      </c>
    </row>
    <row r="103" ht="29" spans="1:11">
      <c r="A103" s="2">
        <v>10102</v>
      </c>
      <c r="B103" s="2" t="s">
        <v>383</v>
      </c>
      <c r="C103" s="2" t="s">
        <v>405</v>
      </c>
      <c r="D103" s="2" t="s">
        <v>123</v>
      </c>
      <c r="E103" s="2" t="s">
        <v>406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 t="s">
        <v>125</v>
      </c>
    </row>
    <row r="104" ht="29" spans="1:11">
      <c r="A104" s="2">
        <v>10103</v>
      </c>
      <c r="B104" s="2" t="s">
        <v>383</v>
      </c>
      <c r="C104" s="2" t="s">
        <v>407</v>
      </c>
      <c r="D104" s="2" t="s">
        <v>7</v>
      </c>
      <c r="E104" s="2" t="s">
        <v>408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 t="s">
        <v>125</v>
      </c>
    </row>
    <row r="105" ht="29" spans="1:11">
      <c r="A105" s="2">
        <v>10104</v>
      </c>
      <c r="B105" s="2" t="s">
        <v>383</v>
      </c>
      <c r="C105" s="2" t="s">
        <v>409</v>
      </c>
      <c r="D105" s="2" t="s">
        <v>7</v>
      </c>
      <c r="E105" s="2" t="s">
        <v>410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 t="s">
        <v>125</v>
      </c>
    </row>
    <row r="106" ht="29" spans="1:11">
      <c r="A106" s="2">
        <v>10105</v>
      </c>
      <c r="B106" s="2" t="s">
        <v>383</v>
      </c>
      <c r="C106" s="2" t="s">
        <v>411</v>
      </c>
      <c r="D106" s="2" t="s">
        <v>7</v>
      </c>
      <c r="E106" s="2" t="s">
        <v>412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 t="s">
        <v>125</v>
      </c>
    </row>
    <row r="107" ht="29" spans="1:11">
      <c r="A107" s="2">
        <v>10106</v>
      </c>
      <c r="B107" s="2" t="s">
        <v>383</v>
      </c>
      <c r="C107" s="2" t="s">
        <v>413</v>
      </c>
      <c r="D107" s="2" t="s">
        <v>123</v>
      </c>
      <c r="E107" s="2" t="s">
        <v>414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 t="s">
        <v>125</v>
      </c>
    </row>
    <row r="108" ht="29" spans="1:11">
      <c r="A108" s="2">
        <v>10107</v>
      </c>
      <c r="B108" s="2" t="s">
        <v>121</v>
      </c>
      <c r="C108" s="2" t="s">
        <v>398</v>
      </c>
      <c r="D108" s="2" t="s">
        <v>7</v>
      </c>
      <c r="E108" s="2" t="s">
        <v>124</v>
      </c>
      <c r="F108" s="2">
        <v>0.0199999995529652</v>
      </c>
      <c r="G108" s="2">
        <v>0.0199999995529652</v>
      </c>
      <c r="H108" s="2">
        <v>0.0199999995529652</v>
      </c>
      <c r="I108" s="2">
        <v>0.400000005960464</v>
      </c>
      <c r="J108" s="2">
        <v>0</v>
      </c>
      <c r="K108" s="2" t="s">
        <v>125</v>
      </c>
    </row>
    <row r="109" ht="29" spans="1:11">
      <c r="A109" s="2">
        <v>10108</v>
      </c>
      <c r="B109" s="2" t="s">
        <v>121</v>
      </c>
      <c r="C109" s="2" t="s">
        <v>122</v>
      </c>
      <c r="D109" s="2" t="s">
        <v>7</v>
      </c>
      <c r="E109" s="2" t="s">
        <v>124</v>
      </c>
      <c r="F109" s="2">
        <v>0.0199999995529652</v>
      </c>
      <c r="G109" s="2">
        <v>0.0199999995529652</v>
      </c>
      <c r="H109" s="2">
        <v>0.0199999995529652</v>
      </c>
      <c r="I109" s="2">
        <v>0.400000005960464</v>
      </c>
      <c r="J109" s="2">
        <v>0</v>
      </c>
      <c r="K109" s="2" t="s">
        <v>125</v>
      </c>
    </row>
    <row r="110" ht="29" spans="1:11">
      <c r="A110" s="2">
        <v>10109</v>
      </c>
      <c r="B110" s="2" t="s">
        <v>121</v>
      </c>
      <c r="C110" s="2" t="s">
        <v>122</v>
      </c>
      <c r="D110" s="2" t="s">
        <v>7</v>
      </c>
      <c r="E110" s="2" t="s">
        <v>124</v>
      </c>
      <c r="F110" s="2">
        <v>0.0199999995529652</v>
      </c>
      <c r="G110" s="2">
        <v>0.0199999995529652</v>
      </c>
      <c r="H110" s="2">
        <v>0.0199999995529652</v>
      </c>
      <c r="I110" s="2">
        <v>0.400000005960464</v>
      </c>
      <c r="J110" s="2">
        <v>0</v>
      </c>
      <c r="K110" s="2" t="s">
        <v>125</v>
      </c>
    </row>
    <row r="111" ht="29" spans="1:11">
      <c r="A111" s="2">
        <v>10110</v>
      </c>
      <c r="B111" s="2" t="s">
        <v>121</v>
      </c>
      <c r="C111" s="2" t="s">
        <v>415</v>
      </c>
      <c r="D111" s="2" t="s">
        <v>7</v>
      </c>
      <c r="E111" s="2" t="s">
        <v>124</v>
      </c>
      <c r="F111" s="2">
        <v>0.0199999995529652</v>
      </c>
      <c r="G111" s="2">
        <v>0.0199999995529652</v>
      </c>
      <c r="H111" s="2">
        <v>0.0199999995529652</v>
      </c>
      <c r="I111" s="2">
        <v>0.400000005960464</v>
      </c>
      <c r="J111" s="2">
        <v>0</v>
      </c>
      <c r="K111" s="2" t="s">
        <v>125</v>
      </c>
    </row>
    <row r="112" ht="29" spans="1:11">
      <c r="A112" s="2">
        <v>11001</v>
      </c>
      <c r="B112" s="2" t="s">
        <v>416</v>
      </c>
      <c r="C112" s="2" t="s">
        <v>383</v>
      </c>
      <c r="D112" s="2" t="s">
        <v>7</v>
      </c>
      <c r="E112" s="2" t="s">
        <v>417</v>
      </c>
      <c r="F112" s="2">
        <v>0.0199999995529652</v>
      </c>
      <c r="G112" s="2">
        <v>0.0199999995529652</v>
      </c>
      <c r="H112" s="2">
        <v>0.0199999995529652</v>
      </c>
      <c r="I112" s="2">
        <v>0.400000005960464</v>
      </c>
      <c r="J112" s="2">
        <v>0</v>
      </c>
      <c r="K112" s="2" t="s">
        <v>125</v>
      </c>
    </row>
    <row r="113" ht="29" spans="1:11">
      <c r="A113" s="2">
        <v>11003</v>
      </c>
      <c r="B113" s="2" t="s">
        <v>383</v>
      </c>
      <c r="C113" s="2" t="s">
        <v>418</v>
      </c>
      <c r="D113" s="2" t="s">
        <v>7</v>
      </c>
      <c r="E113" s="2" t="s">
        <v>419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 t="s">
        <v>125</v>
      </c>
    </row>
    <row r="114" ht="29" spans="1:11">
      <c r="A114" s="2">
        <v>12001</v>
      </c>
      <c r="B114" s="2" t="s">
        <v>383</v>
      </c>
      <c r="C114" s="2" t="s">
        <v>420</v>
      </c>
      <c r="D114" s="2" t="s">
        <v>7</v>
      </c>
      <c r="E114" s="2" t="s">
        <v>421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 t="s">
        <v>125</v>
      </c>
    </row>
    <row r="115" ht="29" spans="1:11">
      <c r="A115" s="2">
        <v>12101</v>
      </c>
      <c r="B115" s="2" t="s">
        <v>362</v>
      </c>
      <c r="C115" s="2" t="s">
        <v>363</v>
      </c>
      <c r="D115" s="2" t="s">
        <v>7</v>
      </c>
      <c r="E115" s="2" t="s">
        <v>364</v>
      </c>
      <c r="F115" s="2">
        <v>0.0199999995529652</v>
      </c>
      <c r="G115" s="2">
        <v>0.0199999995529652</v>
      </c>
      <c r="H115" s="2">
        <v>0.0199999995529652</v>
      </c>
      <c r="I115" s="10" t="s">
        <v>60</v>
      </c>
      <c r="J115" s="2">
        <v>0</v>
      </c>
      <c r="K115" s="2" t="s">
        <v>125</v>
      </c>
    </row>
    <row r="116" ht="29" spans="1:11">
      <c r="A116" s="2">
        <v>12102</v>
      </c>
      <c r="B116" s="2" t="s">
        <v>309</v>
      </c>
      <c r="C116" s="2" t="s">
        <v>310</v>
      </c>
      <c r="D116" s="2" t="s">
        <v>123</v>
      </c>
      <c r="E116" s="2" t="s">
        <v>311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角色战斗力计算</vt:lpstr>
      <vt:lpstr>角色系数表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渡部梦翼</cp:lastModifiedBy>
  <dcterms:created xsi:type="dcterms:W3CDTF">2026-05-05T13:05:00Z</dcterms:created>
  <dcterms:modified xsi:type="dcterms:W3CDTF">2026-05-05T18:45:44Z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FE41945F54174F8F9FCF4875563E68F5_12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